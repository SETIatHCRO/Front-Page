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frothingham/Code/Front-Page/Antenna/Feed focus motor assembly/"/>
    </mc:Choice>
  </mc:AlternateContent>
  <xr:revisionPtr revIDLastSave="0" documentId="13_ncr:1_{1F07221C-281D-9D45-B75D-250E2BB62AD4}" xr6:coauthVersionLast="47" xr6:coauthVersionMax="47" xr10:uidLastSave="{00000000-0000-0000-0000-000000000000}"/>
  <bookViews>
    <workbookView xWindow="52040" yWindow="600" windowWidth="20560" windowHeight="17180" activeTab="1" xr2:uid="{5A00BFE3-024A-7848-AE3B-288923FA76A1}"/>
  </bookViews>
  <sheets>
    <sheet name="all parts" sheetId="1" r:id="rId1"/>
    <sheet name="spares ord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2" l="1"/>
  <c r="F14" i="2"/>
  <c r="F13" i="2"/>
  <c r="F9" i="2"/>
  <c r="F10" i="2"/>
  <c r="F11" i="2"/>
  <c r="F12" i="2"/>
  <c r="F8" i="2"/>
  <c r="F7" i="2"/>
  <c r="F6" i="2"/>
  <c r="F5" i="2"/>
  <c r="F4" i="2"/>
  <c r="G1" i="2" l="1"/>
</calcChain>
</file>

<file path=xl/sharedStrings.xml><?xml version="1.0" encoding="utf-8"?>
<sst xmlns="http://schemas.openxmlformats.org/spreadsheetml/2006/main" count="216" uniqueCount="134">
  <si>
    <t>Feed focus motor assembly</t>
  </si>
  <si>
    <t>Notes</t>
  </si>
  <si>
    <t>Description</t>
  </si>
  <si>
    <t>Manufacturer</t>
  </si>
  <si>
    <t>Mfg part #</t>
  </si>
  <si>
    <t>Supplier</t>
  </si>
  <si>
    <t>Supplier part #</t>
  </si>
  <si>
    <t>Order qty</t>
  </si>
  <si>
    <t>Price ea</t>
  </si>
  <si>
    <t>Total cost</t>
  </si>
  <si>
    <t>Qty per assembly</t>
  </si>
  <si>
    <t>SN32HRYY-LNK-NS-00</t>
  </si>
  <si>
    <t>Pacific Scientific/Kollmorgen</t>
  </si>
  <si>
    <t>Order link</t>
  </si>
  <si>
    <t xml:space="preserve">AC synchronous motor, 120Vac supply voltage, 0.47A rated current, 72rpm, 60Hz, NEMA 34 </t>
  </si>
  <si>
    <t>Magnetic read contact</t>
  </si>
  <si>
    <t>https://www.mouser.com/en/ProductDetail/Littelfuse/59065-010?qs=moDRE%2FDosU2XYkzd%2FiBrBg%3D%3D</t>
  </si>
  <si>
    <t>Littelfuse</t>
  </si>
  <si>
    <t>59065-010</t>
  </si>
  <si>
    <t>Mouser</t>
  </si>
  <si>
    <t>934-59065-010</t>
  </si>
  <si>
    <t>Wirewound resistor - chassis mount 50watt 200ohm 1%</t>
  </si>
  <si>
    <t>https://www.mouser.com/en/ProductDetail/Vishay-Dale/RH050200R0FE02?qs=%252B%2F1MMOhkBTcGlLwZUqit8Q%3D%3D</t>
  </si>
  <si>
    <t>Vishay/Dale</t>
  </si>
  <si>
    <t>RH050200R0FE02</t>
  </si>
  <si>
    <t>71-RH050200R0FE02</t>
  </si>
  <si>
    <t>8-32 3/8" button head screws</t>
  </si>
  <si>
    <t>https://www.mcmaster.com/products/screws/rounded-head-screws-2~/length~3-8-1/thread-size~8-32/drive-style~phillips/</t>
  </si>
  <si>
    <t>McMaster-Carr</t>
  </si>
  <si>
    <t>91772A192</t>
  </si>
  <si>
    <t>8-32 1.5" round female standoffs</t>
  </si>
  <si>
    <t>https://www.mcmaster.com/93330A482/</t>
  </si>
  <si>
    <t>93330A482</t>
  </si>
  <si>
    <t>Narrow 1/4" 8-32 hex nuts</t>
  </si>
  <si>
    <t>90730A009</t>
  </si>
  <si>
    <t>https://www.mcmaster.com/90730A009/</t>
  </si>
  <si>
    <t>92196A269</t>
  </si>
  <si>
    <t>https://www.mcmaster.com/92196A269/</t>
  </si>
  <si>
    <t>Purpose</t>
  </si>
  <si>
    <t>Secure read contact flat bracket</t>
  </si>
  <si>
    <t>Secure cable clamp</t>
  </si>
  <si>
    <t>Secure cable clamp, secure standoffs and cover</t>
  </si>
  <si>
    <t>Spacer between cover and plate</t>
  </si>
  <si>
    <t>Secure motor to plate</t>
  </si>
  <si>
    <t>https://www.mcmaster.com/92196A271/</t>
  </si>
  <si>
    <t>92196A271</t>
  </si>
  <si>
    <t>Can reuse from retrofitted motors</t>
  </si>
  <si>
    <t>Already have some on hand</t>
  </si>
  <si>
    <t>92196A276</t>
  </si>
  <si>
    <t>https://www.mcmaster.com/92196A276/</t>
  </si>
  <si>
    <t>Secure read contact long bracket</t>
  </si>
  <si>
    <t>10-32 1/2" socket head screws</t>
  </si>
  <si>
    <t>10-32 5/8" socket head screws</t>
  </si>
  <si>
    <t>10-32 1.25" partially threaded socket head screws</t>
  </si>
  <si>
    <t>6-32 5/16" button head screws</t>
  </si>
  <si>
    <t>Secure capacitor flanges to plate</t>
  </si>
  <si>
    <t>https://www.mcmaster.com/91772A145/</t>
  </si>
  <si>
    <t>91772A145</t>
  </si>
  <si>
    <t>Timing belt pulley, 5M pitch, 9mm belt, 25 teeth, keyed shaft</t>
  </si>
  <si>
    <t>Cannot find for sale for the life of me. Is it custom-built?</t>
  </si>
  <si>
    <t>4-40 1/4" button head screws</t>
  </si>
  <si>
    <t>Secure resistor to plate</t>
  </si>
  <si>
    <t>https://www.mcmaster.com/91772A106/</t>
  </si>
  <si>
    <t>91772A106</t>
  </si>
  <si>
    <t>10.0 MFD motor run capacitor, 370Vac, 50-60Hz, oval can (wd 2", dp 1.25")</t>
  </si>
  <si>
    <t>https://www.northamericahvac.com/oem-amrad-run-capacitor-10-10-0-uf-mfd-370-440-volt-va2000-37-106-made-in-usa/</t>
  </si>
  <si>
    <t>Amrad Engineering</t>
  </si>
  <si>
    <t>USA2035</t>
  </si>
  <si>
    <t>North America HVAC</t>
  </si>
  <si>
    <t>n/a</t>
  </si>
  <si>
    <t>Resistor</t>
  </si>
  <si>
    <t>Capacitor</t>
  </si>
  <si>
    <t>Read contact</t>
  </si>
  <si>
    <t>Motor</t>
  </si>
  <si>
    <t>Couple motor to belt</t>
  </si>
  <si>
    <t>Cable clamp</t>
  </si>
  <si>
    <t>Secure read contact cable to plate</t>
  </si>
  <si>
    <t>Rubber grommet, 7/16" OD</t>
  </si>
  <si>
    <t>https://www.mcmaster.com/9307K11/</t>
  </si>
  <si>
    <t>9307K11</t>
  </si>
  <si>
    <t>Protect motor cable</t>
  </si>
  <si>
    <t>7-wire, double-shielded control cable, 20AWG, 5ft</t>
  </si>
  <si>
    <t>Control cable</t>
  </si>
  <si>
    <t>https://www.mcmaster.com/6650T29-6650T291/</t>
  </si>
  <si>
    <t>Alpha Wire</t>
  </si>
  <si>
    <t>6650T29</t>
  </si>
  <si>
    <t>12-position terminal block</t>
  </si>
  <si>
    <t>https://www.mouser.com/en/ProductDetail/Altech/40.112?qs=DeBbiv%2F5BpB0AUS9j8M0Aw%3D%3D</t>
  </si>
  <si>
    <t>Altech</t>
  </si>
  <si>
    <t>845-40.112</t>
  </si>
  <si>
    <t>7-pin circular DIN connector</t>
  </si>
  <si>
    <t>Plug into rimbox</t>
  </si>
  <si>
    <t>https://www.mouser.com/en/ProductDetail/Amphenol-Tuchel/T3475-551?qs=dGKrImpajHo7pbFrxtfPgw%3D%3D</t>
  </si>
  <si>
    <t>Amphenol Tuchel</t>
  </si>
  <si>
    <t>T3475-551</t>
  </si>
  <si>
    <t>523-T3475551</t>
  </si>
  <si>
    <t>Cable clamp - control cable to plate</t>
  </si>
  <si>
    <t>Cable clamp - read contact to plate</t>
  </si>
  <si>
    <t>Read contact flat bracket</t>
  </si>
  <si>
    <t>Cover</t>
  </si>
  <si>
    <t>Plate</t>
  </si>
  <si>
    <t>Metal half clamp</t>
  </si>
  <si>
    <t>Capacitor flanges, secure cap to plate</t>
  </si>
  <si>
    <t>Custom sheet metal to cover electronics</t>
  </si>
  <si>
    <t>Custom sheet metal to hold electronics</t>
  </si>
  <si>
    <t>Read contact post bracket</t>
  </si>
  <si>
    <t>Hold read contact to plate (inside cover)</t>
  </si>
  <si>
    <t>Hold read contact to antenna</t>
  </si>
  <si>
    <t>Larger cable clamp</t>
  </si>
  <si>
    <t>Smaller cable clamp</t>
  </si>
  <si>
    <t>https://www.mcmaster.com/8876T13/</t>
  </si>
  <si>
    <t>8876T13</t>
  </si>
  <si>
    <t>Part</t>
  </si>
  <si>
    <t>Qty</t>
  </si>
  <si>
    <t>Cost ea.</t>
  </si>
  <si>
    <t>AC synchronous motor</t>
  </si>
  <si>
    <t>Wirewound resistor</t>
  </si>
  <si>
    <t>Motor run capacitor</t>
  </si>
  <si>
    <t>Wiring</t>
  </si>
  <si>
    <t>Spare assembly and retrofitting, October 2026</t>
  </si>
  <si>
    <t>Order cost:</t>
  </si>
  <si>
    <t>See attached quote</t>
  </si>
  <si>
    <t>Mfg. part #</t>
  </si>
  <si>
    <t>Custom</t>
  </si>
  <si>
    <t>Might have some on-hand</t>
  </si>
  <si>
    <t>Cannot find exact size, is it custom? Might have some on-hand</t>
  </si>
  <si>
    <t>Ferrules, 20AWG</t>
  </si>
  <si>
    <t>Eye crimps, 20AWG</t>
  </si>
  <si>
    <t>Ground wires</t>
  </si>
  <si>
    <t xml:space="preserve">Secure connections to terminal </t>
  </si>
  <si>
    <t>Assume on-hand</t>
  </si>
  <si>
    <t>https://www.ebay.com/itm/276829447492; https://www.ebay.com/itm/277300786756</t>
  </si>
  <si>
    <t>Wake Industrial, eBay</t>
  </si>
  <si>
    <t>Same product may be branded Kollmorgen or Pacific Scientific. No longer made. Some available through Wake Automation. Found some available on eBay.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</si>
</sst>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&quot;$&quot;#,##0.000_);[Red]\(&quot;$&quot;#,##0.000\)"/>
    <numFmt numFmtId="165" formatCode="&quot;$&quot;#,##0.0000_);[Red]\(&quot;$&quot;#,##0.0000\)"/>
    <numFmt numFmtId="172" formatCode="0.000"/>
    <numFmt numFmtId="173" formatCode="0.0000"/>
  </numFmts>
  <fonts count="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15" fontId="0" fillId="0" borderId="0" xfId="0" applyNumberFormat="1"/>
    <xf numFmtId="8" fontId="0" fillId="0" borderId="0" xfId="0" applyNumberFormat="1"/>
    <xf numFmtId="8" fontId="1" fillId="0" borderId="0" xfId="1" applyNumberFormat="1"/>
    <xf numFmtId="164" fontId="0" fillId="0" borderId="0" xfId="0" applyNumberFormat="1"/>
    <xf numFmtId="165" fontId="0" fillId="0" borderId="0" xfId="0" applyNumberFormat="1"/>
    <xf numFmtId="0" fontId="1" fillId="0" borderId="0" xfId="1"/>
    <xf numFmtId="0" fontId="2" fillId="0" borderId="0" xfId="0" applyFont="1"/>
    <xf numFmtId="172" fontId="0" fillId="0" borderId="0" xfId="0" applyNumberFormat="1"/>
    <xf numFmtId="173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ouser.com/en/ProductDetail/Vishay-Dale/RH050200R0FE02?qs=%252B%2F1MMOhkBTcGlLwZUqit8Q%3D%3D" TargetMode="External"/><Relationship Id="rId7" Type="http://schemas.openxmlformats.org/officeDocument/2006/relationships/hyperlink" Target="https://www.mcmaster.com/6650T29-6650T291/" TargetMode="External"/><Relationship Id="rId2" Type="http://schemas.openxmlformats.org/officeDocument/2006/relationships/hyperlink" Target="https://www.mouser.com/en/ProductDetail/Littelfuse/59065-010?qs=moDRE%2FDosU2XYkzd%2FiBrBg%3D%3D" TargetMode="External"/><Relationship Id="rId1" Type="http://schemas.openxmlformats.org/officeDocument/2006/relationships/hyperlink" Target="https://shop.iautomation.com/products/SN32HRYY-LNK-NS-00" TargetMode="External"/><Relationship Id="rId6" Type="http://schemas.openxmlformats.org/officeDocument/2006/relationships/hyperlink" Target="https://www.mouser.com/en/ProductDetail/Amphenol-Tuchel/T3475-551?qs=dGKrImpajHo7pbFrxtfPgw%3D%3D" TargetMode="External"/><Relationship Id="rId5" Type="http://schemas.openxmlformats.org/officeDocument/2006/relationships/hyperlink" Target="https://www.mcmaster.com/products/screws/rounded-head-screws-2~/length~3-8-1/thread-size~8-32/drive-style~phillips/" TargetMode="External"/><Relationship Id="rId4" Type="http://schemas.openxmlformats.org/officeDocument/2006/relationships/hyperlink" Target="https://www.northamericahvac.com/oem-amrad-run-capacitor-10-10-0-uf-mfd-370-440-volt-va2000-37-106-made-in-usa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ouser.com/en/ProductDetail/Vishay-Dale/RH050200R0FE02?qs=%252B%2F1MMOhkBTcGlLwZUqit8Q%3D%3D" TargetMode="External"/><Relationship Id="rId1" Type="http://schemas.openxmlformats.org/officeDocument/2006/relationships/hyperlink" Target="https://www.mouser.com/en/ProductDetail/Littelfuse/59065-010?qs=moDRE%2FDosU2XYkzd%2FiBrBg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2D2B6-6C97-9C4C-9FCD-6CBAAE6991DF}">
  <dimension ref="A1:L30"/>
  <sheetViews>
    <sheetView workbookViewId="0">
      <selection activeCell="D31" sqref="D31"/>
    </sheetView>
  </sheetViews>
  <sheetFormatPr baseColWidth="10" defaultRowHeight="16" x14ac:dyDescent="0.2"/>
  <cols>
    <col min="1" max="2" width="27.33203125" customWidth="1"/>
    <col min="3" max="3" width="23" customWidth="1"/>
    <col min="4" max="4" width="16" customWidth="1"/>
    <col min="5" max="5" width="16.1640625" customWidth="1"/>
    <col min="6" max="6" width="20.6640625" customWidth="1"/>
    <col min="7" max="7" width="20.5" customWidth="1"/>
    <col min="8" max="8" width="17.1640625" customWidth="1"/>
    <col min="9" max="9" width="22" customWidth="1"/>
  </cols>
  <sheetData>
    <row r="1" spans="1:12" x14ac:dyDescent="0.2">
      <c r="F1" t="s">
        <v>0</v>
      </c>
    </row>
    <row r="2" spans="1:12" x14ac:dyDescent="0.2">
      <c r="F2" s="1">
        <v>46297</v>
      </c>
    </row>
    <row r="3" spans="1:12" x14ac:dyDescent="0.2">
      <c r="A3" t="s">
        <v>2</v>
      </c>
      <c r="B3" t="s">
        <v>38</v>
      </c>
      <c r="C3" t="s">
        <v>1</v>
      </c>
      <c r="D3" t="s">
        <v>13</v>
      </c>
      <c r="E3" t="s">
        <v>10</v>
      </c>
      <c r="F3" t="s">
        <v>3</v>
      </c>
      <c r="G3" t="s">
        <v>4</v>
      </c>
      <c r="H3" t="s">
        <v>5</v>
      </c>
      <c r="I3" t="s">
        <v>6</v>
      </c>
      <c r="J3" t="s">
        <v>7</v>
      </c>
      <c r="K3" t="s">
        <v>8</v>
      </c>
      <c r="L3" t="s">
        <v>9</v>
      </c>
    </row>
    <row r="4" spans="1:12" x14ac:dyDescent="0.2">
      <c r="A4" t="s">
        <v>14</v>
      </c>
      <c r="B4" t="s">
        <v>73</v>
      </c>
      <c r="C4" t="s">
        <v>133</v>
      </c>
      <c r="D4" s="3" t="s">
        <v>131</v>
      </c>
      <c r="E4">
        <v>1</v>
      </c>
      <c r="F4" t="s">
        <v>12</v>
      </c>
      <c r="G4" t="s">
        <v>11</v>
      </c>
      <c r="H4" t="s">
        <v>132</v>
      </c>
      <c r="I4" t="s">
        <v>11</v>
      </c>
      <c r="J4">
        <v>1</v>
      </c>
      <c r="K4" s="2">
        <v>590</v>
      </c>
      <c r="L4" s="2"/>
    </row>
    <row r="5" spans="1:12" x14ac:dyDescent="0.2">
      <c r="A5" t="s">
        <v>15</v>
      </c>
      <c r="B5" t="s">
        <v>72</v>
      </c>
      <c r="D5" s="6" t="s">
        <v>16</v>
      </c>
      <c r="E5">
        <v>2</v>
      </c>
      <c r="F5" t="s">
        <v>17</v>
      </c>
      <c r="G5" t="s">
        <v>18</v>
      </c>
      <c r="H5" t="s">
        <v>19</v>
      </c>
      <c r="I5" t="s">
        <v>20</v>
      </c>
      <c r="J5">
        <v>1</v>
      </c>
      <c r="K5" s="2">
        <v>4.88</v>
      </c>
    </row>
    <row r="6" spans="1:12" x14ac:dyDescent="0.2">
      <c r="A6" t="s">
        <v>21</v>
      </c>
      <c r="B6" t="s">
        <v>70</v>
      </c>
      <c r="D6" s="6" t="s">
        <v>22</v>
      </c>
      <c r="E6">
        <v>1</v>
      </c>
      <c r="F6" t="s">
        <v>23</v>
      </c>
      <c r="G6" t="s">
        <v>24</v>
      </c>
      <c r="H6" t="s">
        <v>19</v>
      </c>
      <c r="I6" t="s">
        <v>25</v>
      </c>
      <c r="J6">
        <v>1</v>
      </c>
      <c r="K6" s="2">
        <v>14.82</v>
      </c>
    </row>
    <row r="7" spans="1:12" x14ac:dyDescent="0.2">
      <c r="A7" t="s">
        <v>64</v>
      </c>
      <c r="B7" t="s">
        <v>71</v>
      </c>
      <c r="D7" s="6" t="s">
        <v>65</v>
      </c>
      <c r="E7">
        <v>1</v>
      </c>
      <c r="F7" t="s">
        <v>66</v>
      </c>
      <c r="G7" t="s">
        <v>67</v>
      </c>
      <c r="H7" t="s">
        <v>68</v>
      </c>
      <c r="I7" t="s">
        <v>69</v>
      </c>
      <c r="J7">
        <v>1</v>
      </c>
      <c r="K7" s="2">
        <v>15.65</v>
      </c>
    </row>
    <row r="8" spans="1:12" x14ac:dyDescent="0.2">
      <c r="A8" t="s">
        <v>26</v>
      </c>
      <c r="B8" t="s">
        <v>41</v>
      </c>
      <c r="D8" s="6" t="s">
        <v>27</v>
      </c>
      <c r="E8">
        <v>5</v>
      </c>
      <c r="F8" t="s">
        <v>28</v>
      </c>
      <c r="G8" t="s">
        <v>29</v>
      </c>
      <c r="H8" t="s">
        <v>28</v>
      </c>
      <c r="I8" t="s">
        <v>29</v>
      </c>
      <c r="J8">
        <v>100</v>
      </c>
      <c r="K8" s="4">
        <v>9.9000000000000005E-2</v>
      </c>
    </row>
    <row r="9" spans="1:12" x14ac:dyDescent="0.2">
      <c r="A9" t="s">
        <v>30</v>
      </c>
      <c r="B9" t="s">
        <v>42</v>
      </c>
      <c r="D9" t="s">
        <v>31</v>
      </c>
      <c r="E9">
        <v>2</v>
      </c>
      <c r="F9" t="s">
        <v>28</v>
      </c>
      <c r="G9" t="s">
        <v>32</v>
      </c>
      <c r="H9" t="s">
        <v>28</v>
      </c>
      <c r="I9" t="s">
        <v>32</v>
      </c>
      <c r="J9">
        <v>1</v>
      </c>
      <c r="K9" s="2">
        <v>0.76</v>
      </c>
    </row>
    <row r="10" spans="1:12" x14ac:dyDescent="0.2">
      <c r="A10" t="s">
        <v>33</v>
      </c>
      <c r="B10" t="s">
        <v>40</v>
      </c>
      <c r="D10" t="s">
        <v>35</v>
      </c>
      <c r="E10">
        <v>1</v>
      </c>
      <c r="F10" t="s">
        <v>28</v>
      </c>
      <c r="G10" t="s">
        <v>34</v>
      </c>
      <c r="H10" t="s">
        <v>28</v>
      </c>
      <c r="I10" t="s">
        <v>34</v>
      </c>
      <c r="J10">
        <v>100</v>
      </c>
      <c r="K10" s="5">
        <v>7.9799999999999996E-2</v>
      </c>
    </row>
    <row r="11" spans="1:12" x14ac:dyDescent="0.2">
      <c r="A11" t="s">
        <v>51</v>
      </c>
      <c r="B11" t="s">
        <v>39</v>
      </c>
      <c r="C11" t="s">
        <v>47</v>
      </c>
      <c r="D11" t="s">
        <v>37</v>
      </c>
      <c r="E11">
        <v>1</v>
      </c>
      <c r="F11" t="s">
        <v>28</v>
      </c>
      <c r="G11" t="s">
        <v>36</v>
      </c>
      <c r="H11" t="s">
        <v>28</v>
      </c>
      <c r="I11" t="s">
        <v>36</v>
      </c>
      <c r="J11">
        <v>100</v>
      </c>
      <c r="K11" s="5">
        <v>0.14649999999999999</v>
      </c>
    </row>
    <row r="12" spans="1:12" x14ac:dyDescent="0.2">
      <c r="A12" t="s">
        <v>52</v>
      </c>
      <c r="B12" t="s">
        <v>43</v>
      </c>
      <c r="C12" t="s">
        <v>46</v>
      </c>
      <c r="D12" t="s">
        <v>44</v>
      </c>
      <c r="E12">
        <v>4</v>
      </c>
      <c r="F12" t="s">
        <v>28</v>
      </c>
      <c r="G12" t="s">
        <v>45</v>
      </c>
      <c r="H12" t="s">
        <v>28</v>
      </c>
      <c r="I12" t="s">
        <v>45</v>
      </c>
      <c r="J12">
        <v>100</v>
      </c>
      <c r="K12" s="5">
        <v>0.15329999999999999</v>
      </c>
    </row>
    <row r="13" spans="1:12" x14ac:dyDescent="0.2">
      <c r="A13" t="s">
        <v>53</v>
      </c>
      <c r="B13" t="s">
        <v>50</v>
      </c>
      <c r="D13" t="s">
        <v>49</v>
      </c>
      <c r="E13">
        <v>1</v>
      </c>
      <c r="F13" t="s">
        <v>28</v>
      </c>
      <c r="G13" t="s">
        <v>48</v>
      </c>
      <c r="H13" t="s">
        <v>28</v>
      </c>
      <c r="I13" t="s">
        <v>48</v>
      </c>
      <c r="J13">
        <v>50</v>
      </c>
      <c r="K13" s="2">
        <v>0.28000000000000003</v>
      </c>
    </row>
    <row r="14" spans="1:12" x14ac:dyDescent="0.2">
      <c r="A14" t="s">
        <v>54</v>
      </c>
      <c r="B14" t="s">
        <v>55</v>
      </c>
      <c r="D14" t="s">
        <v>56</v>
      </c>
      <c r="E14">
        <v>2</v>
      </c>
      <c r="F14" t="s">
        <v>28</v>
      </c>
      <c r="G14" t="s">
        <v>57</v>
      </c>
      <c r="H14" t="s">
        <v>28</v>
      </c>
      <c r="I14" t="s">
        <v>57</v>
      </c>
      <c r="J14">
        <v>100</v>
      </c>
      <c r="K14" s="4">
        <v>6.2E-2</v>
      </c>
    </row>
    <row r="15" spans="1:12" x14ac:dyDescent="0.2">
      <c r="A15" t="s">
        <v>60</v>
      </c>
      <c r="B15" t="s">
        <v>61</v>
      </c>
      <c r="D15" t="s">
        <v>62</v>
      </c>
      <c r="E15">
        <v>2</v>
      </c>
      <c r="F15" t="s">
        <v>28</v>
      </c>
      <c r="G15" t="s">
        <v>63</v>
      </c>
      <c r="H15" t="s">
        <v>28</v>
      </c>
      <c r="I15" t="s">
        <v>63</v>
      </c>
      <c r="J15">
        <v>100</v>
      </c>
      <c r="K15" s="5">
        <v>4.8800000000000003E-2</v>
      </c>
    </row>
    <row r="16" spans="1:12" x14ac:dyDescent="0.2">
      <c r="A16" t="s">
        <v>75</v>
      </c>
      <c r="B16" t="s">
        <v>76</v>
      </c>
      <c r="D16" t="s">
        <v>110</v>
      </c>
      <c r="E16">
        <v>1</v>
      </c>
      <c r="F16" t="s">
        <v>28</v>
      </c>
      <c r="G16" t="s">
        <v>111</v>
      </c>
      <c r="H16" t="s">
        <v>28</v>
      </c>
      <c r="I16" t="s">
        <v>111</v>
      </c>
      <c r="J16">
        <v>100</v>
      </c>
      <c r="K16" s="5">
        <v>0.12189999999999999</v>
      </c>
    </row>
    <row r="17" spans="1:11" x14ac:dyDescent="0.2">
      <c r="A17" t="s">
        <v>77</v>
      </c>
      <c r="B17" t="s">
        <v>80</v>
      </c>
      <c r="D17" t="s">
        <v>78</v>
      </c>
      <c r="E17">
        <v>1</v>
      </c>
      <c r="F17" t="s">
        <v>28</v>
      </c>
      <c r="G17" t="s">
        <v>79</v>
      </c>
      <c r="H17" t="s">
        <v>28</v>
      </c>
      <c r="I17" t="s">
        <v>79</v>
      </c>
      <c r="J17">
        <v>50</v>
      </c>
      <c r="K17" s="5">
        <v>0.1162</v>
      </c>
    </row>
    <row r="18" spans="1:11" x14ac:dyDescent="0.2">
      <c r="A18" t="s">
        <v>81</v>
      </c>
      <c r="B18" t="s">
        <v>82</v>
      </c>
      <c r="D18" s="6" t="s">
        <v>83</v>
      </c>
      <c r="E18">
        <v>1</v>
      </c>
      <c r="F18" t="s">
        <v>84</v>
      </c>
      <c r="G18">
        <v>79205</v>
      </c>
      <c r="H18" t="s">
        <v>28</v>
      </c>
      <c r="I18" t="s">
        <v>85</v>
      </c>
      <c r="J18">
        <v>1</v>
      </c>
      <c r="K18" s="5">
        <v>20.55</v>
      </c>
    </row>
    <row r="19" spans="1:11" x14ac:dyDescent="0.2">
      <c r="A19" t="s">
        <v>86</v>
      </c>
      <c r="B19" t="s">
        <v>118</v>
      </c>
      <c r="D19" t="s">
        <v>87</v>
      </c>
      <c r="E19">
        <v>1</v>
      </c>
      <c r="F19" t="s">
        <v>88</v>
      </c>
      <c r="G19">
        <v>40.112000000000002</v>
      </c>
      <c r="H19" t="s">
        <v>19</v>
      </c>
      <c r="I19" t="s">
        <v>89</v>
      </c>
      <c r="J19">
        <v>50</v>
      </c>
      <c r="K19" s="5">
        <v>9.8000000000000004E-2</v>
      </c>
    </row>
    <row r="20" spans="1:11" x14ac:dyDescent="0.2">
      <c r="A20" t="s">
        <v>90</v>
      </c>
      <c r="B20" t="s">
        <v>91</v>
      </c>
      <c r="D20" s="6" t="s">
        <v>92</v>
      </c>
      <c r="E20">
        <v>1</v>
      </c>
      <c r="F20" t="s">
        <v>93</v>
      </c>
      <c r="G20" t="s">
        <v>94</v>
      </c>
      <c r="H20" t="s">
        <v>19</v>
      </c>
      <c r="I20" t="s">
        <v>95</v>
      </c>
      <c r="J20">
        <v>1</v>
      </c>
      <c r="K20" s="5">
        <v>12.05</v>
      </c>
    </row>
    <row r="21" spans="1:11" x14ac:dyDescent="0.2">
      <c r="A21" t="s">
        <v>109</v>
      </c>
      <c r="B21" t="s">
        <v>96</v>
      </c>
      <c r="C21" t="s">
        <v>124</v>
      </c>
      <c r="K21" s="5"/>
    </row>
    <row r="22" spans="1:11" x14ac:dyDescent="0.2">
      <c r="A22" t="s">
        <v>108</v>
      </c>
      <c r="B22" t="s">
        <v>97</v>
      </c>
      <c r="C22" t="s">
        <v>124</v>
      </c>
      <c r="K22" s="5"/>
    </row>
    <row r="23" spans="1:11" x14ac:dyDescent="0.2">
      <c r="A23" t="s">
        <v>98</v>
      </c>
      <c r="B23" t="s">
        <v>107</v>
      </c>
      <c r="C23" t="s">
        <v>123</v>
      </c>
      <c r="K23" s="5"/>
    </row>
    <row r="24" spans="1:11" x14ac:dyDescent="0.2">
      <c r="A24" t="s">
        <v>105</v>
      </c>
      <c r="B24" t="s">
        <v>106</v>
      </c>
      <c r="C24" t="s">
        <v>123</v>
      </c>
      <c r="K24" s="5"/>
    </row>
    <row r="25" spans="1:11" x14ac:dyDescent="0.2">
      <c r="A25" t="s">
        <v>101</v>
      </c>
      <c r="B25" t="s">
        <v>102</v>
      </c>
      <c r="C25" t="s">
        <v>125</v>
      </c>
      <c r="K25" s="5"/>
    </row>
    <row r="26" spans="1:11" x14ac:dyDescent="0.2">
      <c r="A26" t="s">
        <v>99</v>
      </c>
      <c r="B26" t="s">
        <v>103</v>
      </c>
      <c r="K26" s="5"/>
    </row>
    <row r="27" spans="1:11" x14ac:dyDescent="0.2">
      <c r="A27" t="s">
        <v>100</v>
      </c>
      <c r="B27" t="s">
        <v>104</v>
      </c>
      <c r="K27" s="5"/>
    </row>
    <row r="28" spans="1:11" x14ac:dyDescent="0.2">
      <c r="A28" t="s">
        <v>58</v>
      </c>
      <c r="B28" t="s">
        <v>74</v>
      </c>
      <c r="C28" t="s">
        <v>59</v>
      </c>
    </row>
    <row r="29" spans="1:11" x14ac:dyDescent="0.2">
      <c r="A29" t="s">
        <v>126</v>
      </c>
      <c r="B29" t="s">
        <v>129</v>
      </c>
      <c r="C29" t="s">
        <v>130</v>
      </c>
    </row>
    <row r="30" spans="1:11" x14ac:dyDescent="0.2">
      <c r="A30" t="s">
        <v>127</v>
      </c>
      <c r="B30" t="s">
        <v>128</v>
      </c>
      <c r="C30" t="s">
        <v>130</v>
      </c>
    </row>
  </sheetData>
  <hyperlinks>
    <hyperlink ref="D4" r:id="rId1" display="https://shop.iautomation.com/products/SN32HRYY-LNK-NS-00" xr:uid="{64549293-7E74-294E-86FA-2DE1782797F4}"/>
    <hyperlink ref="D5" r:id="rId2" xr:uid="{EA164E27-8547-6046-B9A6-E95159A334D4}"/>
    <hyperlink ref="D6" r:id="rId3" xr:uid="{4905A8F7-0100-F148-BCEF-51DD55ABC47B}"/>
    <hyperlink ref="D7" r:id="rId4" xr:uid="{B2B3DD30-6251-F540-8ABA-779E732CDAAD}"/>
    <hyperlink ref="D8" r:id="rId5" xr:uid="{EBF6C933-3E05-8F41-A2B3-147668113548}"/>
    <hyperlink ref="D20" r:id="rId6" xr:uid="{91B52DA7-6332-7148-BDD7-1AE836F5A8A8}"/>
    <hyperlink ref="D18" r:id="rId7" xr:uid="{EBE5EF90-C502-9B4D-AC05-38B5B786CF8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FAF57-B005-DF4F-A8B9-5B409C1BDD2E}">
  <dimension ref="A1:L32"/>
  <sheetViews>
    <sheetView tabSelected="1" workbookViewId="0">
      <selection activeCell="E33" sqref="E33"/>
    </sheetView>
  </sheetViews>
  <sheetFormatPr baseColWidth="10" defaultRowHeight="16" x14ac:dyDescent="0.2"/>
  <cols>
    <col min="1" max="1" width="26.5" customWidth="1"/>
    <col min="2" max="2" width="13.33203125" customWidth="1"/>
    <col min="3" max="3" width="10.6640625" customWidth="1"/>
    <col min="4" max="4" width="5.5" customWidth="1"/>
  </cols>
  <sheetData>
    <row r="1" spans="1:7" x14ac:dyDescent="0.2">
      <c r="A1" t="s">
        <v>119</v>
      </c>
      <c r="F1" t="s">
        <v>120</v>
      </c>
      <c r="G1">
        <f>SUM(F4:F15)</f>
        <v>2423.48</v>
      </c>
    </row>
    <row r="3" spans="1:7" x14ac:dyDescent="0.2">
      <c r="A3" t="s">
        <v>112</v>
      </c>
      <c r="B3" t="s">
        <v>3</v>
      </c>
      <c r="C3" t="s">
        <v>122</v>
      </c>
      <c r="D3" t="s">
        <v>113</v>
      </c>
      <c r="E3" t="s">
        <v>114</v>
      </c>
      <c r="F3" t="s">
        <v>9</v>
      </c>
      <c r="G3" t="s">
        <v>13</v>
      </c>
    </row>
    <row r="4" spans="1:7" x14ac:dyDescent="0.2">
      <c r="A4" s="7" t="s">
        <v>115</v>
      </c>
      <c r="B4" t="s">
        <v>12</v>
      </c>
      <c r="C4" t="s">
        <v>11</v>
      </c>
      <c r="D4">
        <v>4</v>
      </c>
      <c r="E4">
        <v>489</v>
      </c>
      <c r="F4">
        <f>D4*E4</f>
        <v>1956</v>
      </c>
      <c r="G4" t="s">
        <v>121</v>
      </c>
    </row>
    <row r="5" spans="1:7" x14ac:dyDescent="0.2">
      <c r="A5" t="s">
        <v>72</v>
      </c>
      <c r="B5" t="s">
        <v>17</v>
      </c>
      <c r="C5" t="s">
        <v>18</v>
      </c>
      <c r="D5">
        <v>20</v>
      </c>
      <c r="E5">
        <v>4.88</v>
      </c>
      <c r="F5">
        <f>D5*E5</f>
        <v>97.6</v>
      </c>
      <c r="G5" s="6" t="s">
        <v>16</v>
      </c>
    </row>
    <row r="6" spans="1:7" x14ac:dyDescent="0.2">
      <c r="A6" t="s">
        <v>116</v>
      </c>
      <c r="B6" t="s">
        <v>23</v>
      </c>
      <c r="C6" t="s">
        <v>24</v>
      </c>
      <c r="D6">
        <v>5</v>
      </c>
      <c r="E6">
        <v>14.82</v>
      </c>
      <c r="F6">
        <f>D6*E6</f>
        <v>74.099999999999994</v>
      </c>
      <c r="G6" s="6" t="s">
        <v>22</v>
      </c>
    </row>
    <row r="7" spans="1:7" x14ac:dyDescent="0.2">
      <c r="A7" t="s">
        <v>117</v>
      </c>
      <c r="B7" t="s">
        <v>66</v>
      </c>
      <c r="C7" t="s">
        <v>67</v>
      </c>
      <c r="D7">
        <v>5</v>
      </c>
      <c r="E7">
        <v>15.65</v>
      </c>
      <c r="F7">
        <f>D7*E7</f>
        <v>78.25</v>
      </c>
      <c r="G7" t="s">
        <v>65</v>
      </c>
    </row>
    <row r="8" spans="1:7" x14ac:dyDescent="0.2">
      <c r="A8" t="s">
        <v>26</v>
      </c>
      <c r="B8" t="s">
        <v>28</v>
      </c>
      <c r="C8" t="s">
        <v>29</v>
      </c>
      <c r="D8">
        <v>100</v>
      </c>
      <c r="E8" s="9">
        <v>9.9000000000000005E-2</v>
      </c>
      <c r="F8">
        <f>D8*E8</f>
        <v>9.9</v>
      </c>
      <c r="G8" t="s">
        <v>27</v>
      </c>
    </row>
    <row r="9" spans="1:7" x14ac:dyDescent="0.2">
      <c r="A9" t="s">
        <v>51</v>
      </c>
      <c r="B9" t="s">
        <v>28</v>
      </c>
      <c r="C9" t="s">
        <v>36</v>
      </c>
      <c r="D9">
        <v>100</v>
      </c>
      <c r="E9" s="9">
        <v>0.14649999999999999</v>
      </c>
      <c r="F9">
        <f t="shared" ref="F9:F12" si="0">D9*E9</f>
        <v>14.649999999999999</v>
      </c>
      <c r="G9" t="s">
        <v>37</v>
      </c>
    </row>
    <row r="10" spans="1:7" x14ac:dyDescent="0.2">
      <c r="A10" t="s">
        <v>53</v>
      </c>
      <c r="B10" t="s">
        <v>28</v>
      </c>
      <c r="C10" t="s">
        <v>48</v>
      </c>
      <c r="D10">
        <v>50</v>
      </c>
      <c r="E10">
        <v>0.28000000000000003</v>
      </c>
      <c r="F10">
        <f t="shared" si="0"/>
        <v>14.000000000000002</v>
      </c>
      <c r="G10" t="s">
        <v>49</v>
      </c>
    </row>
    <row r="11" spans="1:7" x14ac:dyDescent="0.2">
      <c r="A11" t="s">
        <v>54</v>
      </c>
      <c r="B11" t="s">
        <v>28</v>
      </c>
      <c r="C11" t="s">
        <v>57</v>
      </c>
      <c r="D11">
        <v>100</v>
      </c>
      <c r="E11">
        <v>6.2E-2</v>
      </c>
      <c r="F11">
        <f t="shared" si="0"/>
        <v>6.2</v>
      </c>
      <c r="G11" t="s">
        <v>56</v>
      </c>
    </row>
    <row r="12" spans="1:7" x14ac:dyDescent="0.2">
      <c r="A12" t="s">
        <v>60</v>
      </c>
      <c r="B12" t="s">
        <v>28</v>
      </c>
      <c r="C12" t="s">
        <v>63</v>
      </c>
      <c r="D12">
        <v>100</v>
      </c>
      <c r="E12">
        <v>4.8800000000000003E-2</v>
      </c>
      <c r="F12">
        <f t="shared" si="0"/>
        <v>4.88</v>
      </c>
      <c r="G12" t="s">
        <v>62</v>
      </c>
    </row>
    <row r="13" spans="1:7" x14ac:dyDescent="0.2">
      <c r="A13" t="s">
        <v>81</v>
      </c>
      <c r="B13" t="s">
        <v>84</v>
      </c>
      <c r="C13">
        <v>79205</v>
      </c>
      <c r="D13">
        <v>5</v>
      </c>
      <c r="E13" s="8">
        <v>20.55</v>
      </c>
      <c r="F13">
        <f>D13*E13</f>
        <v>102.75</v>
      </c>
      <c r="G13" t="s">
        <v>83</v>
      </c>
    </row>
    <row r="14" spans="1:7" x14ac:dyDescent="0.2">
      <c r="A14" t="s">
        <v>90</v>
      </c>
      <c r="B14" t="s">
        <v>93</v>
      </c>
      <c r="C14" t="s">
        <v>94</v>
      </c>
      <c r="D14">
        <v>5</v>
      </c>
      <c r="E14">
        <v>12.05</v>
      </c>
      <c r="F14">
        <f>D14*E14</f>
        <v>60.25</v>
      </c>
      <c r="G14" t="s">
        <v>92</v>
      </c>
    </row>
    <row r="15" spans="1:7" x14ac:dyDescent="0.2">
      <c r="A15" t="s">
        <v>86</v>
      </c>
      <c r="B15" t="s">
        <v>88</v>
      </c>
      <c r="C15">
        <v>40.112000000000002</v>
      </c>
      <c r="D15">
        <v>50</v>
      </c>
      <c r="E15">
        <v>9.8000000000000004E-2</v>
      </c>
      <c r="F15">
        <f>D15*E15</f>
        <v>4.9000000000000004</v>
      </c>
      <c r="G15" t="s">
        <v>87</v>
      </c>
    </row>
    <row r="17" spans="12:12" x14ac:dyDescent="0.2">
      <c r="L17" s="2"/>
    </row>
    <row r="18" spans="12:12" x14ac:dyDescent="0.2">
      <c r="L18" s="4"/>
    </row>
    <row r="19" spans="12:12" x14ac:dyDescent="0.2">
      <c r="L19" s="5"/>
    </row>
    <row r="29" spans="12:12" x14ac:dyDescent="0.2">
      <c r="L29" s="5"/>
    </row>
    <row r="31" spans="12:12" x14ac:dyDescent="0.2">
      <c r="L31" s="5"/>
    </row>
    <row r="32" spans="12:12" x14ac:dyDescent="0.2">
      <c r="L32" s="5"/>
    </row>
  </sheetData>
  <hyperlinks>
    <hyperlink ref="G5" r:id="rId1" xr:uid="{7F0480D5-ACE0-9042-9B61-C355DED5AB21}"/>
    <hyperlink ref="G6" r:id="rId2" xr:uid="{D7D7CC7D-E0CA-0145-AAD7-7AA19E59824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parts</vt:lpstr>
      <vt:lpstr>spares order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 Frothingham</dc:creator>
  <cp:lastModifiedBy>Jay Frothingham</cp:lastModifiedBy>
  <dcterms:created xsi:type="dcterms:W3CDTF">2026-09-16T15:39:58Z</dcterms:created>
  <dcterms:modified xsi:type="dcterms:W3CDTF">2026-10-06T16:06:08Z</dcterms:modified>
</cp:coreProperties>
</file>