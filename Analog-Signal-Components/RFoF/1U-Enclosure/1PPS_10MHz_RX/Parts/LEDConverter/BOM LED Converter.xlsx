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<sst xmlns="http://schemas.openxmlformats.org/spreadsheetml/2006/main" count="69" uniqueCount="49">
  <si>
    <t>BOM for LED Converter</t>
  </si>
  <si>
    <t>QTY</t>
  </si>
  <si>
    <t>Type</t>
  </si>
  <si>
    <t>Name</t>
  </si>
  <si>
    <t>Formfactor</t>
  </si>
  <si>
    <t>Mfr.</t>
  </si>
  <si>
    <t>Mfr. #</t>
  </si>
  <si>
    <t>Link Vendor</t>
  </si>
  <si>
    <t>Datasheet</t>
  </si>
  <si>
    <t>Vendor</t>
  </si>
  <si>
    <t>Cost</t>
  </si>
  <si>
    <t>Push-Pull Comp</t>
  </si>
  <si>
    <t>TI Analog Comparators Dual Micropower Push -Pull</t>
  </si>
  <si>
    <t>TSSOP-8</t>
  </si>
  <si>
    <t>Texas Instruments</t>
  </si>
  <si>
    <t>TLC3702IPW</t>
  </si>
  <si>
    <t>↗</t>
  </si>
  <si>
    <t>Mouser</t>
  </si>
  <si>
    <t>Headers</t>
  </si>
  <si>
    <t>Headers &amp; Wire Housings KK 100 Hdr Assy Bkw 02 Ckt Tin</t>
  </si>
  <si>
    <t>Breakaway, Solder Pin</t>
  </si>
  <si>
    <t>Molex</t>
  </si>
  <si>
    <t>42375-1855</t>
  </si>
  <si>
    <t>Tantalum Cap.</t>
  </si>
  <si>
    <t>Tantalum Capacitors - Solid SMD</t>
  </si>
  <si>
    <t>KEMET</t>
  </si>
  <si>
    <t>T491X107K025AT</t>
  </si>
  <si>
    <t>.5 A Fuse</t>
  </si>
  <si>
    <t>Surface Mount Fuses 280VAC 0.5A .6ohms 443LC NANO2</t>
  </si>
  <si>
    <t>-</t>
  </si>
  <si>
    <t>Littelfuse</t>
  </si>
  <si>
    <t>0443.500DRLC</t>
  </si>
  <si>
    <t>Diode</t>
  </si>
  <si>
    <t>Rectifiers 50V 1A</t>
  </si>
  <si>
    <t>SMA-2</t>
  </si>
  <si>
    <t>Diodes Inc.</t>
  </si>
  <si>
    <t>S1A-13-F</t>
  </si>
  <si>
    <t>1 uF Cap</t>
  </si>
  <si>
    <t>Multilayer Ceramic Capacitors MLCC - SMD/SMT 0805 1uF 10volts X7R 10%</t>
  </si>
  <si>
    <t>Vishay</t>
  </si>
  <si>
    <t>VJ0805Y105KXQTW1BC</t>
  </si>
  <si>
    <t>2k Resistor</t>
  </si>
  <si>
    <t>Thin Film Resistors - SMD 0805 2Kohm 0.1% 15ppm AEC-Q200</t>
  </si>
  <si>
    <t>Panasonic</t>
  </si>
  <si>
    <t>ERA-6AEB101V</t>
  </si>
  <si>
    <t>499 Resistor</t>
  </si>
  <si>
    <t>Thin Film Resistors - SMD 0805 499ohm 0.1% 25ppm</t>
  </si>
  <si>
    <t>ERA-6AEB4990V</t>
  </si>
  <si>
    <t>2.5 M nuts, washers, screws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</si>
</sst>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ndustrial.panasonic.com/cdbs/www-data/pdf/RDM0000/AOA0000C307.pdf" TargetMode="External"/><Relationship Id="rId10" Type="http://schemas.openxmlformats.org/officeDocument/2006/relationships/hyperlink" Target="https://www.mouser.com/ProductDetail/Panasonic/ERA-6APB202V?qs=ob%252BdNz2%252BYEg%252BI4Q3Z4g4FA%3D%3D" TargetMode="External"/><Relationship Id="rId13" Type="http://schemas.openxmlformats.org/officeDocument/2006/relationships/hyperlink" Target="https://industrial.panasonic.com/cdbs/www-data/pdf/RDM0000/AOA0000C307.pdf" TargetMode="External"/><Relationship Id="rId12" Type="http://schemas.openxmlformats.org/officeDocument/2006/relationships/hyperlink" Target="https://www.mouser.com/ProductDetail/Panasonic/ERA-6AEB4990V?qs=nuXzIS8loXEVjnKgoFas5A%3D%3D" TargetMode="External"/><Relationship Id="rId1" Type="http://schemas.openxmlformats.org/officeDocument/2006/relationships/hyperlink" Target="https://www.ti.com/lit/ds/symlink/tlc3702m.pdf?ts=1769193767275&amp;ref_url=https%253A%252F%252Fwww.mouser.com%252F" TargetMode="External"/><Relationship Id="rId2" Type="http://schemas.openxmlformats.org/officeDocument/2006/relationships/hyperlink" Target="https://www.mouser.com/ProductDetail/Molex/42375-1855?qs=ZGcr3cVYdJB6ku9waOYTJg%3D%3D&amp;srsltid=AfmBOoo5gvqTQUEnuWxX1R9-HdIS8VbucJTLCHwYFL_EYAGKX4GSzQtG" TargetMode="External"/><Relationship Id="rId3" Type="http://schemas.openxmlformats.org/officeDocument/2006/relationships/hyperlink" Target="https://tools.molex.com/pdm_docs/sd/423751855_sd.pdf" TargetMode="External"/><Relationship Id="rId4" Type="http://schemas.openxmlformats.org/officeDocument/2006/relationships/hyperlink" Target="https://www.mouser.com/ProductDetail/KEMET/T491X107K025AT?qs=QpHsZXO%252BQJ%252BKFgQiUckA6A%3D%3D&amp;utm_id=22340552284&amp;utm_source=google&amp;utm_medium=cpc&amp;utm_marketing_tactic=amercorp&amp;gad_source=1&amp;gad_campaignid=22340553736&amp;gbraid=0AAAAADn_wf2PHxfG8F69rFZSIGq_IidYY&amp;gclid=Cj0KCQiA1czLBhDhARIsAIEc7uimvrjxB9zqu10yLH9hclx7O9FStQ3xuhNRSEeHZ5qxSb-Zow_RNtoaApC2EALw_wcB" TargetMode="External"/><Relationship Id="rId9" Type="http://schemas.openxmlformats.org/officeDocument/2006/relationships/hyperlink" Target="https://www.vishay.com/docs/28548/vjw1bcbascomseries.pdf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mouser.com/datasheet/3/72/1/KEM_T2005_T491.pdf" TargetMode="External"/><Relationship Id="rId6" Type="http://schemas.openxmlformats.org/officeDocument/2006/relationships/hyperlink" Target="https://tools.molex.com/pdm_docs/sd/423751855_sd.pdf" TargetMode="External"/><Relationship Id="rId7" Type="http://schemas.openxmlformats.org/officeDocument/2006/relationships/hyperlink" Target="https://tools.molex.com/pdm_docs/sd/423751855_sd.pdf" TargetMode="External"/><Relationship Id="rId8" Type="http://schemas.openxmlformats.org/officeDocument/2006/relationships/hyperlink" Target="https://www.mouser.com/ProductDetail/Vishay-Vitramon/VJ0805Y105KXQTW1BC?qs=F2lBERbFaaHnNHh23%2Flzkg%3D%3D&amp;srsltid=AfmBOoqfBPR6kWDyNgSqvaPXgckhIeyJC8zFYy8CML8o-QdmsJsuHy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>
      <c r="A4" s="3">
        <v>1.0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4" t="str">
        <f>HYPERLINK("https://www.mouser.com/ProductDetail/Texas-Instruments/TLC3702IPWR?qs=p6lVfQR1GSqrayQICnP15w%3D%3D&amp;srsltid=AfmBOordKqHEcD0sPlkF-8gWxZWK7OQBeTcPufEqWk503GSBmgrB3IcT","↗")</f>
        <v>↗</v>
      </c>
      <c r="H4" s="5" t="s">
        <v>16</v>
      </c>
      <c r="I4" s="3" t="s">
        <v>17</v>
      </c>
      <c r="J4" s="3">
        <v>1.24</v>
      </c>
    </row>
    <row r="5">
      <c r="A5" s="3">
        <v>5.0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5" t="s">
        <v>16</v>
      </c>
      <c r="H5" s="5" t="s">
        <v>16</v>
      </c>
      <c r="I5" s="3" t="s">
        <v>17</v>
      </c>
      <c r="J5" s="3">
        <v>0.1</v>
      </c>
    </row>
    <row r="6">
      <c r="A6" s="3">
        <v>1.0</v>
      </c>
      <c r="B6" s="3" t="s">
        <v>23</v>
      </c>
      <c r="C6" s="3" t="s">
        <v>24</v>
      </c>
      <c r="D6" s="6">
        <v>7343.0</v>
      </c>
      <c r="E6" s="3" t="s">
        <v>25</v>
      </c>
      <c r="F6" s="3" t="s">
        <v>26</v>
      </c>
      <c r="G6" s="5" t="s">
        <v>16</v>
      </c>
      <c r="H6" s="5" t="s">
        <v>16</v>
      </c>
      <c r="I6" s="3" t="s">
        <v>17</v>
      </c>
      <c r="J6" s="3">
        <v>2.8</v>
      </c>
    </row>
    <row r="7">
      <c r="A7" s="3">
        <v>1.0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4" t="str">
        <f t="shared" ref="G7:G8" si="1">HYPERLINK("https://www.mouser.com/ProductDetail/Texas-Instruments/TLC3702IPWR?qs=p6lVfQR1GSqrayQICnP15w%3D%3D&amp;srsltid=AfmBOordKqHEcD0sPlkF-8gWxZWK7OQBeTcPufEqWk503GSBmgrB3IcT","↗")</f>
        <v>↗</v>
      </c>
      <c r="H7" s="5" t="s">
        <v>16</v>
      </c>
      <c r="I7" s="3" t="s">
        <v>17</v>
      </c>
      <c r="J7" s="3">
        <v>1.86</v>
      </c>
    </row>
    <row r="8">
      <c r="A8" s="3">
        <v>1.0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4" t="str">
        <f t="shared" si="1"/>
        <v>↗</v>
      </c>
      <c r="H8" s="5" t="s">
        <v>16</v>
      </c>
      <c r="I8" s="3" t="s">
        <v>17</v>
      </c>
      <c r="J8" s="3">
        <v>0.14</v>
      </c>
    </row>
    <row r="9">
      <c r="A9" s="3">
        <v>1.0</v>
      </c>
      <c r="B9" s="3" t="s">
        <v>37</v>
      </c>
      <c r="C9" s="3" t="s">
        <v>38</v>
      </c>
      <c r="D9" s="6">
        <v>2012.0</v>
      </c>
      <c r="E9" s="3" t="s">
        <v>39</v>
      </c>
      <c r="F9" s="3" t="s">
        <v>40</v>
      </c>
      <c r="G9" s="5" t="s">
        <v>16</v>
      </c>
      <c r="H9" s="5" t="s">
        <v>16</v>
      </c>
      <c r="I9" s="3" t="s">
        <v>17</v>
      </c>
      <c r="J9" s="3">
        <v>0.15</v>
      </c>
    </row>
    <row r="10">
      <c r="A10" s="3">
        <v>4.0</v>
      </c>
      <c r="B10" s="3" t="s">
        <v>41</v>
      </c>
      <c r="C10" s="3" t="s">
        <v>42</v>
      </c>
      <c r="D10" s="6">
        <v>2012.0</v>
      </c>
      <c r="E10" s="3" t="s">
        <v>43</v>
      </c>
      <c r="F10" s="3" t="s">
        <v>44</v>
      </c>
      <c r="G10" s="5" t="s">
        <v>16</v>
      </c>
      <c r="H10" s="5" t="s">
        <v>16</v>
      </c>
      <c r="I10" s="3" t="s">
        <v>17</v>
      </c>
      <c r="J10" s="3">
        <v>0.1</v>
      </c>
    </row>
    <row r="11">
      <c r="A11" s="3">
        <v>2.0</v>
      </c>
      <c r="B11" s="3" t="s">
        <v>45</v>
      </c>
      <c r="C11" s="3" t="s">
        <v>46</v>
      </c>
      <c r="D11" s="6">
        <v>2012.0</v>
      </c>
      <c r="E11" s="3" t="s">
        <v>43</v>
      </c>
      <c r="F11" s="3" t="s">
        <v>47</v>
      </c>
      <c r="G11" s="5" t="s">
        <v>16</v>
      </c>
      <c r="H11" s="5" t="s">
        <v>16</v>
      </c>
      <c r="I11" s="3" t="s">
        <v>17</v>
      </c>
      <c r="J11" s="3">
        <v>0.1</v>
      </c>
    </row>
    <row r="12">
      <c r="C12" s="3" t="s">
        <v>48</v>
      </c>
      <c r="G12" s="7"/>
      <c r="H12" s="8"/>
    </row>
    <row r="13">
      <c r="G13" s="7"/>
      <c r="H13" s="8"/>
      <c r="J13" s="9">
        <f>SUMPRODUCT(A4:A12, J4:J12)</f>
        <v>7.29</v>
      </c>
    </row>
    <row r="14">
      <c r="G14" s="7"/>
      <c r="H14" s="8"/>
    </row>
    <row r="15">
      <c r="G15" s="7"/>
      <c r="H15" s="8"/>
    </row>
    <row r="16">
      <c r="G16" s="7"/>
      <c r="H16" s="8"/>
    </row>
    <row r="17">
      <c r="G17" s="7"/>
      <c r="H17" s="8"/>
    </row>
    <row r="18">
      <c r="G18" s="7"/>
      <c r="H18" s="8"/>
    </row>
    <row r="19">
      <c r="G19" s="7"/>
      <c r="H19" s="8"/>
    </row>
  </sheetData>
  <hyperlinks>
    <hyperlink r:id="rId1" ref="H4"/>
    <hyperlink r:id="rId2" ref="G5"/>
    <hyperlink r:id="rId3" ref="H5"/>
    <hyperlink r:id="rId4" ref="G6"/>
    <hyperlink r:id="rId5" ref="H6"/>
    <hyperlink r:id="rId6" ref="H7"/>
    <hyperlink r:id="rId7" ref="H8"/>
    <hyperlink r:id="rId8" ref="G9"/>
    <hyperlink r:id="rId9" ref="H9"/>
    <hyperlink r:id="rId10" ref="G10"/>
    <hyperlink r:id="rId11" ref="H10"/>
    <hyperlink r:id="rId12" ref="G11"/>
    <hyperlink r:id="rId13" ref="H11"/>
  </hyperlinks>
  <drawing r:id="rId14"/>
</worksheet>
</file>