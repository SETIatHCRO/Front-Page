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328"/>
  <workbookPr/>
  <mc:AlternateContent xmlns:mc="http://schemas.openxmlformats.org/markup-compatibility/2006">
    <mc:Choice Requires="x15">
      <x15ac:absPath xmlns:x15ac="http://schemas.microsoft.com/office/spreadsheetml/2010/11/ac" url="C:\Users\colin\Downloads\"/>
    </mc:Choice>
  </mc:AlternateContent>
  <xr:revisionPtr revIDLastSave="0" documentId="13_ncr:1_{9DEC995E-84B0-403F-85D4-4CC728AACAA0}" xr6:coauthVersionLast="47" xr6:coauthVersionMax="47" xr10:uidLastSave="{00000000-0000-0000-0000-000000000000}"/>
  <bookViews>
    <workbookView xWindow="-120" yWindow="-120" windowWidth="19785" windowHeight="1176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K18" i="1" l="1"/>
</calcChain>
</file>

<file path=xl/sharedStrings.xml><?xml version="1.0" encoding="utf-8"?>
<sst xmlns="http://schemas.openxmlformats.org/spreadsheetml/2006/main" count="127" uniqueCount="73">
  <si>
    <t>QTY</t>
  </si>
  <si>
    <t>Unit</t>
  </si>
  <si>
    <t>Type</t>
  </si>
  <si>
    <t>Name</t>
  </si>
  <si>
    <t>Manufacturer</t>
  </si>
  <si>
    <t>Mfr. #</t>
  </si>
  <si>
    <t>Datasheet</t>
  </si>
  <si>
    <t>Vendor</t>
  </si>
  <si>
    <t>pcs</t>
  </si>
  <si>
    <t>↗</t>
  </si>
  <si>
    <t>Resistor</t>
  </si>
  <si>
    <t>0805 (2012 metric)</t>
  </si>
  <si>
    <t>Panasonic</t>
  </si>
  <si>
    <t>ERA-6AEB301V</t>
  </si>
  <si>
    <t>Mouser</t>
  </si>
  <si>
    <t>LDO</t>
  </si>
  <si>
    <t>TO-220</t>
  </si>
  <si>
    <t xml:space="preserve">2917 (7343 metric) </t>
  </si>
  <si>
    <t>Tantalum Capacitor 100uF</t>
  </si>
  <si>
    <t>KEMET</t>
  </si>
  <si>
    <t>T491X107K025AT</t>
  </si>
  <si>
    <t>Ceramic Capacitor 0.33uF</t>
  </si>
  <si>
    <t>Tant Cap</t>
  </si>
  <si>
    <t>Cer Cap</t>
  </si>
  <si>
    <t>GRM21AR72A334KAC5L</t>
  </si>
  <si>
    <t>MuRata</t>
  </si>
  <si>
    <t>Ceramic Capacitor 0.1uF</t>
  </si>
  <si>
    <t>GCM21BR72A104KA37L</t>
  </si>
  <si>
    <t>1 MOhm Thin Film Resistor</t>
  </si>
  <si>
    <t>ERJ-U1TF2000U</t>
  </si>
  <si>
    <t>Fuse</t>
  </si>
  <si>
    <t>Diode</t>
  </si>
  <si>
    <t>Connector</t>
  </si>
  <si>
    <t>Thermally conductive isolation Pad</t>
  </si>
  <si>
    <t>Thermal Pad</t>
  </si>
  <si>
    <t>Bergquist</t>
  </si>
  <si>
    <t>7403-09AC-67</t>
  </si>
  <si>
    <t>Molex Microfit 3.0 2-Position Terminal</t>
  </si>
  <si>
    <t>43650-0211</t>
  </si>
  <si>
    <t>Molex</t>
  </si>
  <si>
    <t>Microfit 3.0 right angle</t>
  </si>
  <si>
    <t>Slow Blow Fuse and Holder assembly</t>
  </si>
  <si>
    <t>S1M</t>
  </si>
  <si>
    <t>DO-214AC</t>
  </si>
  <si>
    <t>Formfactor/Package</t>
  </si>
  <si>
    <t>Onsemi</t>
  </si>
  <si>
    <t>Diode S1M 1000V 1A</t>
  </si>
  <si>
    <t>0154001.DRT</t>
  </si>
  <si>
    <t>Littelfuse</t>
  </si>
  <si>
    <t>9.73 mm x 5.03 mm</t>
  </si>
  <si>
    <t>RS Pro</t>
  </si>
  <si>
    <t>TO-220 Heatsink</t>
  </si>
  <si>
    <t>Heatsink</t>
  </si>
  <si>
    <t>Distrelec</t>
  </si>
  <si>
    <t>263-251</t>
  </si>
  <si>
    <t>Apem</t>
  </si>
  <si>
    <t>Panelmount, 6mm hole</t>
  </si>
  <si>
    <t>Total Cost</t>
  </si>
  <si>
    <t>Cost p.P. $</t>
  </si>
  <si>
    <t>$</t>
  </si>
  <si>
    <t>Link Vendor</t>
  </si>
  <si>
    <t>Sourcing List for 10x LDO_PSU PCB</t>
  </si>
  <si>
    <t>PCB</t>
  </si>
  <si>
    <t>JLCPCB</t>
  </si>
  <si>
    <t>HCRO</t>
  </si>
  <si>
    <t>Linear Voltage Regulator PCB</t>
  </si>
  <si>
    <t>500 Ohm Thin Film Resistor</t>
  </si>
  <si>
    <t>LRV 12V 1.5A Positve</t>
  </si>
  <si>
    <t>STMicroelectronics</t>
  </si>
  <si>
    <t>L7812CV</t>
  </si>
  <si>
    <t>Red LED</t>
  </si>
  <si>
    <t>LED Red Panelmount</t>
  </si>
  <si>
    <t>Q6F3GXXR02E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</si>
</sst>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8" formatCode="&quot;$&quot;#,##0.00_);[Red]\(&quot;$&quot;#,##0.00\)"/>
  </numFmts>
  <fonts count="3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i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thin">
        <color indexed="64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8">
    <xf numFmtId="0" fontId="0" fillId="0" borderId="0" xfId="0"/>
    <xf numFmtId="0" fontId="2" fillId="0" borderId="0" xfId="0" applyFont="1"/>
    <xf numFmtId="0" fontId="0" fillId="0" borderId="1" xfId="0" applyBorder="1"/>
    <xf numFmtId="0" fontId="0" fillId="0" borderId="0" xfId="0" applyAlignment="1">
      <alignment horizontal="center"/>
    </xf>
    <xf numFmtId="0" fontId="1" fillId="0" borderId="0" xfId="1" applyAlignment="1">
      <alignment horizontal="center"/>
    </xf>
    <xf numFmtId="2" fontId="0" fillId="0" borderId="0" xfId="0" applyNumberFormat="1"/>
    <xf numFmtId="8" fontId="0" fillId="0" borderId="0" xfId="0" applyNumberFormat="1"/>
    <xf numFmtId="0" fontId="1" fillId="0" borderId="0" xfId="1" applyAlignment="1">
      <alignment horizontal="center" vertical="center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https://www.mouser.com/datasheet/2/281/1/GRM21AR72A334KAC5_01A-1986692.pdf" TargetMode="External"/><Relationship Id="rId13" Type="http://schemas.openxmlformats.org/officeDocument/2006/relationships/hyperlink" Target="https://www.mouser.com/ProductDetail/Molex/43650-0211?qs=z57USrEQgt0F0sS1hGS9Bw%3D%3D" TargetMode="External"/><Relationship Id="rId18" Type="http://schemas.openxmlformats.org/officeDocument/2006/relationships/hyperlink" Target="https://www.mouser.com/ProductDetail/Littelfuse/0154001.DRT?qs=gu7KAQ731UQPKHSDuMkClg%3D%3D" TargetMode="External"/><Relationship Id="rId3" Type="http://schemas.openxmlformats.org/officeDocument/2006/relationships/hyperlink" Target="https://www.mouser.com/ProductDetail/KEMET/T491X107K025AT?qs=QpHsZXO%252BQJ%252BKFgQiUckA6A%3D%3D" TargetMode="External"/><Relationship Id="rId21" Type="http://schemas.openxmlformats.org/officeDocument/2006/relationships/hyperlink" Target="https://www.mouser.com/ProductDetail/STMicroelectronics/L7812CV?qs=5Uvc6lfWVJzVGZQZmBynyg%3D%3D&amp;srsltid=AfmBOoqs5FAMduk0sUoDO77YRS9sBWzhqh1LYs2gJnBjEqmCk53p1jqv" TargetMode="External"/><Relationship Id="rId7" Type="http://schemas.openxmlformats.org/officeDocument/2006/relationships/hyperlink" Target="https://www.mouser.com/ProductDetail/Panasonic/ERA-6AEB105V?qs=2pXEX08Cf1VGLbL%252By9J2zw%3D%3D" TargetMode="External"/><Relationship Id="rId12" Type="http://schemas.openxmlformats.org/officeDocument/2006/relationships/hyperlink" Target="https://www.mouser.com/datasheet/2/48/BERGQUIST_SIL_PAD_TSP_900_en_GL-3432587.pdf" TargetMode="External"/><Relationship Id="rId17" Type="http://schemas.openxmlformats.org/officeDocument/2006/relationships/hyperlink" Target="https://www.mouser.com/datasheet/2/308/1/S1M_D-2320166.pdf" TargetMode="External"/><Relationship Id="rId25" Type="http://schemas.openxmlformats.org/officeDocument/2006/relationships/printerSettings" Target="../printerSettings/printerSettings1.bin"/><Relationship Id="rId2" Type="http://schemas.openxmlformats.org/officeDocument/2006/relationships/hyperlink" Target="https://industrial.panasonic.com/cdbs/www-data/pdf/RDM0000/AOA0000C307.pdf" TargetMode="External"/><Relationship Id="rId16" Type="http://schemas.openxmlformats.org/officeDocument/2006/relationships/hyperlink" Target="https://www.mouser.com/ProductDetail/onsemi-Fairchild/S1M?qs=RJwZ8kJo1mhFujnIpzoJdg%3D%3D" TargetMode="External"/><Relationship Id="rId20" Type="http://schemas.openxmlformats.org/officeDocument/2006/relationships/hyperlink" Target="https://media.distrelec.com/Web/Downloads/_t/ds/263251_eng_tds.pdf" TargetMode="External"/><Relationship Id="rId1" Type="http://schemas.openxmlformats.org/officeDocument/2006/relationships/hyperlink" Target="https://www.mouser.com/ProductDetail/Panasonic/ERA-6AED4990V?qs=MNPzkKEzRtQ6Sj4d8mALnQ%3D%3D" TargetMode="External"/><Relationship Id="rId6" Type="http://schemas.openxmlformats.org/officeDocument/2006/relationships/hyperlink" Target="https://www.mouser.com/ProductDetail/Murata-Electronics/GCM21BR72A104KA37L?qs=aEuGZpxfbxU57i7kalIPTw%3D%3D" TargetMode="External"/><Relationship Id="rId11" Type="http://schemas.openxmlformats.org/officeDocument/2006/relationships/hyperlink" Target="https://www.mouser.com/ProductDetail/Bergquist-Company/7403-09AC-67?qs=Imq1NPwxi74BYsBpsah2Hw%3D%3D" TargetMode="External"/><Relationship Id="rId24" Type="http://schemas.openxmlformats.org/officeDocument/2006/relationships/hyperlink" Target="https://www.mouser.com/catalog/specsheets/Apem_09152017_Q6.pdf" TargetMode="External"/><Relationship Id="rId5" Type="http://schemas.openxmlformats.org/officeDocument/2006/relationships/hyperlink" Target="https://www.mouser.com/ProductDetail/Murata-Electronics/GRM21AR72A334KAC5L?qs=vS1sKHMaE9WxhFYLmviwXA%3D%3D" TargetMode="External"/><Relationship Id="rId15" Type="http://schemas.openxmlformats.org/officeDocument/2006/relationships/hyperlink" Target="https://www.littelfuse.com/media?resourcetype=datasheets&amp;itemid=63f61b85-5fc5-4f00-9ca9-8d59a6252d71&amp;filename=littelfuse_fuse_154_154t_154l_154tl_datasheet.pdf" TargetMode="External"/><Relationship Id="rId23" Type="http://schemas.openxmlformats.org/officeDocument/2006/relationships/hyperlink" Target="https://www.mouser.com/ProductDetail/Apem/Q6F3CXXR02E?qs=4pzlT8jjbheF1OmuiSn%2Fng%3D%3D" TargetMode="External"/><Relationship Id="rId10" Type="http://schemas.openxmlformats.org/officeDocument/2006/relationships/hyperlink" Target="https://www.mouser.com/datasheet/2/315/AOA0000C307-1149632.pdf" TargetMode="External"/><Relationship Id="rId19" Type="http://schemas.openxmlformats.org/officeDocument/2006/relationships/hyperlink" Target="https://www.distrelec.biz/en/heat-sink-17-9k-20x35x20mm-rs-pro-263251/p/30404202" TargetMode="External"/><Relationship Id="rId4" Type="http://schemas.openxmlformats.org/officeDocument/2006/relationships/hyperlink" Target="https://www.mouser.com/datasheet/2/447/KEM_T2005_T491-3316937.pdf" TargetMode="External"/><Relationship Id="rId9" Type="http://schemas.openxmlformats.org/officeDocument/2006/relationships/hyperlink" Target="https://www.mouser.com/datasheet/2/281/1/GCM21BR72A104KA37_01A-3145807.pdf" TargetMode="External"/><Relationship Id="rId14" Type="http://schemas.openxmlformats.org/officeDocument/2006/relationships/hyperlink" Target="https://www.molex.com/en-us/products/part-detail/436500211?display=pdf" TargetMode="External"/><Relationship Id="rId22" Type="http://schemas.openxmlformats.org/officeDocument/2006/relationships/hyperlink" Target="https://www.st.com/resource/en/datasheet/l78.pdf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18"/>
  <sheetViews>
    <sheetView tabSelected="1" topLeftCell="A2" zoomScale="109" zoomScaleNormal="175" workbookViewId="0">
      <selection activeCell="G19" sqref="G19"/>
    </sheetView>
  </sheetViews>
  <sheetFormatPr defaultRowHeight="15" x14ac:dyDescent="0.25"/>
  <cols>
    <col min="1" max="1" width="4.42578125" customWidth="1"/>
    <col min="2" max="2" width="8.85546875" customWidth="1"/>
    <col min="3" max="3" width="10.85546875" customWidth="1"/>
    <col min="4" max="4" width="31.5703125" customWidth="1"/>
    <col min="5" max="5" width="19.7109375" customWidth="1"/>
    <col min="6" max="6" width="10.28515625" customWidth="1"/>
    <col min="7" max="7" width="20.140625" customWidth="1"/>
    <col min="8" max="8" width="10.5703125" customWidth="1"/>
    <col min="11" max="11" width="9.42578125" customWidth="1"/>
  </cols>
  <sheetData>
    <row r="1" spans="1:11" x14ac:dyDescent="0.25">
      <c r="A1" s="1" t="s">
        <v>61</v>
      </c>
      <c r="B1" s="1"/>
    </row>
    <row r="2" spans="1:11" x14ac:dyDescent="0.25">
      <c r="E2" s="3"/>
    </row>
    <row r="3" spans="1:11" x14ac:dyDescent="0.25">
      <c r="A3" s="2" t="s">
        <v>0</v>
      </c>
      <c r="B3" s="2" t="s">
        <v>1</v>
      </c>
      <c r="C3" s="2" t="s">
        <v>2</v>
      </c>
      <c r="D3" s="2" t="s">
        <v>3</v>
      </c>
      <c r="E3" s="2" t="s">
        <v>44</v>
      </c>
      <c r="F3" s="2" t="s">
        <v>4</v>
      </c>
      <c r="G3" s="2" t="s">
        <v>5</v>
      </c>
      <c r="H3" s="2" t="s">
        <v>60</v>
      </c>
      <c r="I3" s="2" t="s">
        <v>6</v>
      </c>
      <c r="J3" s="2" t="s">
        <v>7</v>
      </c>
      <c r="K3" s="2" t="s">
        <v>58</v>
      </c>
    </row>
    <row r="4" spans="1:11" x14ac:dyDescent="0.25">
      <c r="A4">
        <v>10</v>
      </c>
      <c r="B4" t="s">
        <v>8</v>
      </c>
      <c r="C4" t="s">
        <v>15</v>
      </c>
      <c r="D4" t="s">
        <v>67</v>
      </c>
      <c r="E4" t="s">
        <v>16</v>
      </c>
      <c r="F4" t="s">
        <v>68</v>
      </c>
      <c r="G4" t="s">
        <v>69</v>
      </c>
      <c r="H4" s="4" t="s">
        <v>9</v>
      </c>
      <c r="I4" s="4" t="s">
        <v>9</v>
      </c>
      <c r="J4" t="s">
        <v>14</v>
      </c>
      <c r="K4">
        <v>0.41</v>
      </c>
    </row>
    <row r="5" spans="1:11" x14ac:dyDescent="0.25">
      <c r="A5">
        <v>10</v>
      </c>
      <c r="B5" t="s">
        <v>8</v>
      </c>
      <c r="C5" t="s">
        <v>22</v>
      </c>
      <c r="D5" t="s">
        <v>18</v>
      </c>
      <c r="E5" t="s">
        <v>17</v>
      </c>
      <c r="F5" t="s">
        <v>19</v>
      </c>
      <c r="G5" t="s">
        <v>20</v>
      </c>
      <c r="H5" s="4" t="s">
        <v>9</v>
      </c>
      <c r="I5" s="4" t="s">
        <v>9</v>
      </c>
      <c r="J5" t="s">
        <v>14</v>
      </c>
      <c r="K5">
        <v>2.57</v>
      </c>
    </row>
    <row r="6" spans="1:11" x14ac:dyDescent="0.25">
      <c r="A6">
        <v>10</v>
      </c>
      <c r="B6" t="s">
        <v>8</v>
      </c>
      <c r="C6" t="s">
        <v>23</v>
      </c>
      <c r="D6" t="s">
        <v>21</v>
      </c>
      <c r="E6" t="s">
        <v>11</v>
      </c>
      <c r="F6" t="s">
        <v>25</v>
      </c>
      <c r="G6" t="s">
        <v>24</v>
      </c>
      <c r="H6" s="4" t="s">
        <v>9</v>
      </c>
      <c r="I6" s="4" t="s">
        <v>9</v>
      </c>
      <c r="J6" t="s">
        <v>14</v>
      </c>
      <c r="K6">
        <v>0.52</v>
      </c>
    </row>
    <row r="7" spans="1:11" x14ac:dyDescent="0.25">
      <c r="A7">
        <v>10</v>
      </c>
      <c r="B7" t="s">
        <v>8</v>
      </c>
      <c r="C7" t="s">
        <v>23</v>
      </c>
      <c r="D7" t="s">
        <v>26</v>
      </c>
      <c r="E7" t="s">
        <v>11</v>
      </c>
      <c r="F7" t="s">
        <v>25</v>
      </c>
      <c r="G7" t="s">
        <v>27</v>
      </c>
      <c r="H7" s="4" t="s">
        <v>9</v>
      </c>
      <c r="I7" s="4" t="s">
        <v>9</v>
      </c>
      <c r="J7" t="s">
        <v>14</v>
      </c>
      <c r="K7">
        <v>0.13</v>
      </c>
    </row>
    <row r="8" spans="1:11" x14ac:dyDescent="0.25">
      <c r="A8">
        <v>10</v>
      </c>
      <c r="B8" t="s">
        <v>8</v>
      </c>
      <c r="C8" t="s">
        <v>10</v>
      </c>
      <c r="D8" t="s">
        <v>28</v>
      </c>
      <c r="E8" t="s">
        <v>11</v>
      </c>
      <c r="F8" t="s">
        <v>12</v>
      </c>
      <c r="G8" t="s">
        <v>29</v>
      </c>
      <c r="H8" s="4" t="s">
        <v>9</v>
      </c>
      <c r="I8" s="4" t="s">
        <v>9</v>
      </c>
      <c r="J8" t="s">
        <v>14</v>
      </c>
      <c r="K8">
        <v>0.14000000000000001</v>
      </c>
    </row>
    <row r="9" spans="1:11" x14ac:dyDescent="0.25">
      <c r="A9">
        <v>10</v>
      </c>
      <c r="B9" t="s">
        <v>8</v>
      </c>
      <c r="C9" t="s">
        <v>10</v>
      </c>
      <c r="D9" t="s">
        <v>66</v>
      </c>
      <c r="E9" t="s">
        <v>11</v>
      </c>
      <c r="F9" t="s">
        <v>12</v>
      </c>
      <c r="G9" t="s">
        <v>13</v>
      </c>
      <c r="H9" s="4" t="s">
        <v>9</v>
      </c>
      <c r="I9" s="4" t="s">
        <v>9</v>
      </c>
      <c r="J9" t="s">
        <v>14</v>
      </c>
      <c r="K9" s="6">
        <v>7.0000000000000007E-2</v>
      </c>
    </row>
    <row r="10" spans="1:11" x14ac:dyDescent="0.25">
      <c r="A10">
        <v>10</v>
      </c>
      <c r="B10" t="s">
        <v>8</v>
      </c>
      <c r="C10" t="s">
        <v>31</v>
      </c>
      <c r="D10" t="s">
        <v>46</v>
      </c>
      <c r="E10" t="s">
        <v>43</v>
      </c>
      <c r="F10" t="s">
        <v>45</v>
      </c>
      <c r="G10" t="s">
        <v>42</v>
      </c>
      <c r="H10" s="4" t="s">
        <v>9</v>
      </c>
      <c r="I10" s="4" t="s">
        <v>9</v>
      </c>
      <c r="J10" t="s">
        <v>14</v>
      </c>
      <c r="K10">
        <v>0.22</v>
      </c>
    </row>
    <row r="11" spans="1:11" x14ac:dyDescent="0.25">
      <c r="A11">
        <v>10</v>
      </c>
      <c r="B11" t="s">
        <v>8</v>
      </c>
      <c r="C11" t="s">
        <v>30</v>
      </c>
      <c r="D11" t="s">
        <v>41</v>
      </c>
      <c r="E11" t="s">
        <v>49</v>
      </c>
      <c r="F11" t="s">
        <v>48</v>
      </c>
      <c r="G11" t="s">
        <v>47</v>
      </c>
      <c r="H11" s="4" t="s">
        <v>9</v>
      </c>
      <c r="I11" s="4" t="s">
        <v>9</v>
      </c>
      <c r="J11" t="s">
        <v>14</v>
      </c>
      <c r="K11">
        <v>2.88</v>
      </c>
    </row>
    <row r="12" spans="1:11" x14ac:dyDescent="0.25">
      <c r="A12">
        <v>30</v>
      </c>
      <c r="B12" t="s">
        <v>8</v>
      </c>
      <c r="C12" t="s">
        <v>32</v>
      </c>
      <c r="D12" t="s">
        <v>37</v>
      </c>
      <c r="E12" t="s">
        <v>40</v>
      </c>
      <c r="F12" t="s">
        <v>39</v>
      </c>
      <c r="G12" t="s">
        <v>38</v>
      </c>
      <c r="H12" s="4" t="s">
        <v>9</v>
      </c>
      <c r="I12" s="4" t="s">
        <v>9</v>
      </c>
      <c r="J12" t="s">
        <v>14</v>
      </c>
      <c r="K12">
        <v>2.76</v>
      </c>
    </row>
    <row r="13" spans="1:11" x14ac:dyDescent="0.25">
      <c r="A13">
        <v>10</v>
      </c>
      <c r="B13" t="s">
        <v>8</v>
      </c>
      <c r="C13" t="s">
        <v>34</v>
      </c>
      <c r="D13" t="s">
        <v>33</v>
      </c>
      <c r="E13" t="s">
        <v>16</v>
      </c>
      <c r="F13" t="s">
        <v>35</v>
      </c>
      <c r="G13" t="s">
        <v>36</v>
      </c>
      <c r="H13" s="4" t="s">
        <v>9</v>
      </c>
      <c r="I13" s="4" t="s">
        <v>9</v>
      </c>
      <c r="J13" t="s">
        <v>14</v>
      </c>
      <c r="K13">
        <v>1.35</v>
      </c>
    </row>
    <row r="14" spans="1:11" x14ac:dyDescent="0.25">
      <c r="A14">
        <v>10</v>
      </c>
      <c r="B14" t="s">
        <v>8</v>
      </c>
      <c r="C14" t="s">
        <v>70</v>
      </c>
      <c r="D14" t="s">
        <v>71</v>
      </c>
      <c r="E14" t="s">
        <v>56</v>
      </c>
      <c r="F14" t="s">
        <v>55</v>
      </c>
      <c r="G14" t="s">
        <v>72</v>
      </c>
      <c r="H14" s="7" t="s">
        <v>9</v>
      </c>
      <c r="I14" s="7" t="s">
        <v>9</v>
      </c>
      <c r="J14" t="s">
        <v>14</v>
      </c>
      <c r="K14">
        <v>12.58</v>
      </c>
    </row>
    <row r="15" spans="1:11" x14ac:dyDescent="0.25">
      <c r="A15">
        <v>10</v>
      </c>
      <c r="B15" t="s">
        <v>8</v>
      </c>
      <c r="C15" t="s">
        <v>52</v>
      </c>
      <c r="D15" t="s">
        <v>51</v>
      </c>
      <c r="E15" t="s">
        <v>16</v>
      </c>
      <c r="F15" t="s">
        <v>50</v>
      </c>
      <c r="G15" t="s">
        <v>54</v>
      </c>
      <c r="H15" s="4" t="s">
        <v>9</v>
      </c>
      <c r="I15" s="7" t="s">
        <v>9</v>
      </c>
      <c r="J15" t="s">
        <v>53</v>
      </c>
      <c r="K15" s="5">
        <v>1.6</v>
      </c>
    </row>
    <row r="16" spans="1:11" x14ac:dyDescent="0.25">
      <c r="A16">
        <v>10</v>
      </c>
      <c r="B16" t="s">
        <v>8</v>
      </c>
      <c r="C16" t="s">
        <v>62</v>
      </c>
      <c r="D16" t="s">
        <v>65</v>
      </c>
      <c r="F16" t="s">
        <v>64</v>
      </c>
      <c r="J16" t="s">
        <v>63</v>
      </c>
    </row>
    <row r="18" spans="10:12" x14ac:dyDescent="0.25">
      <c r="J18" t="s">
        <v>57</v>
      </c>
      <c r="K18">
        <f>A4*K4+A5*K5+A6*K6+A7*K7+A8*K8+A9*K9+A10*K10+A11*K11+A12*K12+A13*K13+A14*K14+A15*K15</f>
        <v>307.5</v>
      </c>
      <c r="L18" t="s">
        <v>59</v>
      </c>
    </row>
  </sheetData>
  <hyperlinks>
    <hyperlink ref="H9" r:id="rId1" xr:uid="{54856FB6-6D76-44C1-A137-3FEC5C2D35E9}"/>
    <hyperlink ref="I9" r:id="rId2" xr:uid="{4FF45093-ECC0-40E1-B555-AE63704AF131}"/>
    <hyperlink ref="H5" r:id="rId3" xr:uid="{E35E9795-79BC-4B13-A477-23DBB78D34D9}"/>
    <hyperlink ref="I5" r:id="rId4" xr:uid="{399AF6E3-B43A-47CD-A716-24B3C02C34F4}"/>
    <hyperlink ref="H6" r:id="rId5" xr:uid="{72F02C75-DD6E-47A1-BAB1-EC871F95A713}"/>
    <hyperlink ref="H7" r:id="rId6" xr:uid="{F245616F-607D-4DD6-9467-5F4FC5F17331}"/>
    <hyperlink ref="H8" r:id="rId7" xr:uid="{2235D202-D1EA-4FE0-8C92-9CBE208A5D56}"/>
    <hyperlink ref="I6" r:id="rId8" xr:uid="{BA2EE3F8-33D6-434E-99A9-0BC4200C5DF9}"/>
    <hyperlink ref="I7" r:id="rId9" xr:uid="{388CB546-6AB0-4BB0-A307-A7D9AB25EFF2}"/>
    <hyperlink ref="I8" r:id="rId10" xr:uid="{B9AB32A2-0237-4E3D-A43B-9C98AB4A4B6B}"/>
    <hyperlink ref="H13" r:id="rId11" xr:uid="{10A51B51-1466-4948-88A5-6FABC0066EDF}"/>
    <hyperlink ref="I13" r:id="rId12" xr:uid="{1F57A72D-E30B-4691-8993-924E39B92B5B}"/>
    <hyperlink ref="H12" r:id="rId13" xr:uid="{A4172F7F-1EFA-4336-BA80-9B4E47D7A06E}"/>
    <hyperlink ref="I12" r:id="rId14" xr:uid="{B3B2F464-1AEE-464E-AEE6-83342361A5B0}"/>
    <hyperlink ref="I11" r:id="rId15" xr:uid="{7D37369D-3C19-4627-9083-1B0821CDF829}"/>
    <hyperlink ref="H10" r:id="rId16" xr:uid="{23C1B078-5FBA-4025-B235-D75DC8718D58}"/>
    <hyperlink ref="I10" r:id="rId17" xr:uid="{13528C8C-10C9-4512-AED5-733AB4D763B6}"/>
    <hyperlink ref="H11" r:id="rId18" xr:uid="{92D00AC1-05D7-46FA-B175-2CEA6362B86F}"/>
    <hyperlink ref="H15" r:id="rId19" xr:uid="{72F6C9E4-F147-4C79-8850-8D10F0FFA32E}"/>
    <hyperlink ref="I15" r:id="rId20" xr:uid="{DD7CC943-E864-44B8-9621-EC27D14F242F}"/>
    <hyperlink ref="H4" r:id="rId21" xr:uid="{7E75D100-CED9-40B2-A201-3102A84A6E14}"/>
    <hyperlink ref="I4" r:id="rId22" xr:uid="{8497F74C-8648-4B78-9BBB-2AF67154988B}"/>
    <hyperlink ref="H14" r:id="rId23" xr:uid="{4BCA9AB7-F621-42F2-B9DB-AD59A515CD11}"/>
    <hyperlink ref="I14" r:id="rId24" xr:uid="{F1688804-BE46-4AF1-97F7-963139BB919D}"/>
  </hyperlinks>
  <pageMargins left="0.7" right="0.7" top="0.75" bottom="0.75" header="0.3" footer="0.3"/>
  <pageSetup orientation="portrait" r:id="rId2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Paul</dc:creator>
  <cp:lastModifiedBy>Rush, Colin</cp:lastModifiedBy>
  <dcterms:created xsi:type="dcterms:W3CDTF">2015-06-05T18:17:20Z</dcterms:created>
  <dcterms:modified xsi:type="dcterms:W3CDTF">2026-01-16T17:25:35Z</dcterms:modified>
</cp:coreProperties>
</file>