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jfrothingham/Code/Front-Page/Analog-Signal-Components/PAX/PAM-2025/PAM-modules/detector-module/detector-module-v2/Jan26_production/PV curves/"/>
    </mc:Choice>
  </mc:AlternateContent>
  <xr:revisionPtr revIDLastSave="0" documentId="13_ncr:1_{1863DECC-CB36-CD4B-9639-A0A8438C0FC8}" xr6:coauthVersionLast="47" xr6:coauthVersionMax="47" xr10:uidLastSave="{00000000-0000-0000-0000-000000000000}"/>
  <bookViews>
    <workbookView xWindow="19600" yWindow="680" windowWidth="14320" windowHeight="11920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2" i="1"/>
  <c r="D3" i="2"/>
  <c r="D4" i="2"/>
  <c r="D5" i="2"/>
  <c r="D6" i="2"/>
  <c r="D7" i="2"/>
  <c r="D8" i="2"/>
  <c r="D2" i="2"/>
  <c r="D3" i="3"/>
  <c r="D4" i="3"/>
  <c r="D5" i="3"/>
  <c r="D6" i="3"/>
  <c r="D7" i="3"/>
  <c r="D2" i="3"/>
  <c r="D3" i="4"/>
  <c r="D4" i="4"/>
  <c r="D5" i="4"/>
  <c r="D6" i="4"/>
  <c r="D2" i="4"/>
  <c r="D3" i="5"/>
  <c r="D4" i="5"/>
  <c r="D5" i="5"/>
  <c r="D6" i="5"/>
  <c r="D2" i="5"/>
</calcChain>
</file>

<file path=xl/sharedStrings.xml><?xml version="1.0" encoding="utf-8"?>
<sst xmlns="http://schemas.openxmlformats.org/spreadsheetml/2006/main" count="35" uniqueCount="7">
  <si>
    <t>Input</t>
  </si>
  <si>
    <t>Voltage (mv)</t>
  </si>
  <si>
    <t>Voltage (V)</t>
  </si>
  <si>
    <t>Freq (GHz)</t>
  </si>
  <si>
    <t>Output level (dBm)</t>
  </si>
  <si>
    <t>commanded</t>
  </si>
  <si>
    <t>actual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</si>
</sst>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tabSelected="1" workbookViewId="0">
      <selection activeCell="G7" sqref="G7"/>
    </sheetView>
  </sheetViews>
  <sheetFormatPr baseColWidth="10" defaultColWidth="12.6640625" defaultRowHeight="15.75" customHeight="1" x14ac:dyDescent="0.15"/>
  <sheetData>
    <row r="1" spans="1:26" ht="15.75" customHeight="1" x14ac:dyDescent="0.1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  <c r="F1" s="2"/>
      <c r="G1" s="2" t="s">
        <v>5</v>
      </c>
      <c r="H1" s="2">
        <v>-20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15">
      <c r="A2" s="3">
        <v>-40</v>
      </c>
      <c r="B2" s="3">
        <v>-39.58</v>
      </c>
      <c r="C2" s="3">
        <v>79.8</v>
      </c>
      <c r="D2" s="2">
        <f>C2/1000</f>
        <v>7.9799999999999996E-2</v>
      </c>
      <c r="E2" s="3">
        <v>1</v>
      </c>
      <c r="F2" s="2"/>
      <c r="G2" s="2" t="s">
        <v>6</v>
      </c>
      <c r="H2" s="2">
        <v>-20.420000000000002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15">
      <c r="A3" s="3">
        <v>-35</v>
      </c>
      <c r="B3" s="3">
        <v>-34.58</v>
      </c>
      <c r="C3" s="3">
        <v>79.5</v>
      </c>
      <c r="D3" s="2">
        <f t="shared" ref="D3:D12" si="0">C3/1000</f>
        <v>7.9500000000000001E-2</v>
      </c>
      <c r="E3" s="3">
        <v>1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15">
      <c r="A4" s="3">
        <v>-30</v>
      </c>
      <c r="B4" s="3">
        <v>-29.58</v>
      </c>
      <c r="C4" s="3">
        <v>79.78</v>
      </c>
      <c r="D4" s="2">
        <f t="shared" si="0"/>
        <v>7.9780000000000004E-2</v>
      </c>
      <c r="E4" s="3">
        <v>1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15">
      <c r="A5" s="3">
        <v>-25</v>
      </c>
      <c r="B5" s="3">
        <v>-24.58</v>
      </c>
      <c r="C5" s="3">
        <v>7.6</v>
      </c>
      <c r="D5" s="2">
        <f t="shared" si="0"/>
        <v>7.6E-3</v>
      </c>
      <c r="E5" s="3">
        <v>1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15">
      <c r="A6" s="3">
        <v>-20</v>
      </c>
      <c r="B6" s="3">
        <v>-19.579999999999998</v>
      </c>
      <c r="C6" s="3">
        <v>79.2</v>
      </c>
      <c r="D6" s="2">
        <f t="shared" si="0"/>
        <v>7.9200000000000007E-2</v>
      </c>
      <c r="E6" s="3">
        <v>1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15">
      <c r="A7" s="3">
        <v>-15</v>
      </c>
      <c r="B7" s="3">
        <v>-14.58</v>
      </c>
      <c r="C7" s="3">
        <v>80.05</v>
      </c>
      <c r="D7" s="2">
        <f t="shared" si="0"/>
        <v>8.0049999999999996E-2</v>
      </c>
      <c r="E7" s="3">
        <v>1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15">
      <c r="A8" s="3">
        <v>-10</v>
      </c>
      <c r="B8" s="3">
        <v>-9.58</v>
      </c>
      <c r="C8" s="3">
        <v>81.69</v>
      </c>
      <c r="D8" s="2">
        <f t="shared" si="0"/>
        <v>8.1689999999999999E-2</v>
      </c>
      <c r="E8" s="3">
        <v>1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15">
      <c r="A9" s="3">
        <v>-5</v>
      </c>
      <c r="B9" s="3">
        <v>-4.58</v>
      </c>
      <c r="C9" s="3">
        <v>87.6</v>
      </c>
      <c r="D9" s="2">
        <f t="shared" si="0"/>
        <v>8.7599999999999997E-2</v>
      </c>
      <c r="E9" s="3">
        <v>1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15">
      <c r="A10" s="3">
        <v>0</v>
      </c>
      <c r="B10" s="3">
        <v>0.42</v>
      </c>
      <c r="C10" s="3">
        <v>103.88</v>
      </c>
      <c r="D10" s="2">
        <f t="shared" si="0"/>
        <v>0.10388</v>
      </c>
      <c r="E10" s="3">
        <v>1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15">
      <c r="A11" s="3">
        <v>1</v>
      </c>
      <c r="B11" s="3">
        <v>1.42</v>
      </c>
      <c r="C11" s="3">
        <v>109.33</v>
      </c>
      <c r="D11" s="2">
        <f t="shared" si="0"/>
        <v>0.10933</v>
      </c>
      <c r="E11" s="3">
        <v>1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15">
      <c r="A12" s="3">
        <v>2</v>
      </c>
      <c r="B12" s="3">
        <v>2.42</v>
      </c>
      <c r="C12" s="3">
        <v>117.01</v>
      </c>
      <c r="D12" s="2">
        <f t="shared" si="0"/>
        <v>0.11701</v>
      </c>
      <c r="E12" s="3">
        <v>1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15">
      <c r="A13" s="3">
        <v>3</v>
      </c>
      <c r="B13" s="3">
        <v>3.42</v>
      </c>
      <c r="C13" s="3"/>
      <c r="D13" s="2">
        <v>0.125</v>
      </c>
      <c r="E13" s="3">
        <v>1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15">
      <c r="A14" s="2">
        <v>4</v>
      </c>
      <c r="B14" s="3">
        <v>4.42</v>
      </c>
      <c r="C14" s="2"/>
      <c r="D14" s="2">
        <v>0.1343</v>
      </c>
      <c r="E14" s="2">
        <v>1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15">
      <c r="A15" s="2">
        <v>5</v>
      </c>
      <c r="B15" s="3">
        <v>5.42</v>
      </c>
      <c r="C15" s="2"/>
      <c r="D15" s="2">
        <v>0.14549999999999999</v>
      </c>
      <c r="E15" s="2">
        <v>1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15">
      <c r="A16" s="2">
        <v>6</v>
      </c>
      <c r="B16" s="3">
        <v>6.42</v>
      </c>
      <c r="C16" s="2"/>
      <c r="D16" s="2">
        <v>0.1615</v>
      </c>
      <c r="E16" s="2">
        <v>1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15">
      <c r="A17" s="2">
        <v>7</v>
      </c>
      <c r="B17" s="3">
        <v>7.42</v>
      </c>
      <c r="C17" s="2"/>
      <c r="D17" s="2">
        <v>0.1769</v>
      </c>
      <c r="E17" s="2">
        <v>1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15">
      <c r="A18" s="2">
        <v>8</v>
      </c>
      <c r="B18" s="3">
        <v>8.42</v>
      </c>
      <c r="C18" s="2"/>
      <c r="D18" s="2">
        <v>0.19450000000000001</v>
      </c>
      <c r="E18" s="2">
        <v>1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15">
      <c r="A19" s="2">
        <v>9</v>
      </c>
      <c r="B19" s="3">
        <v>9.42</v>
      </c>
      <c r="C19" s="2"/>
      <c r="D19" s="2">
        <v>0.2145</v>
      </c>
      <c r="E19" s="2">
        <v>1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15">
      <c r="A20" s="2">
        <v>10</v>
      </c>
      <c r="B20" s="3">
        <v>10.42</v>
      </c>
      <c r="C20" s="2"/>
      <c r="D20" s="2">
        <v>0.23749999999999999</v>
      </c>
      <c r="E20" s="2">
        <v>1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15">
      <c r="A21" s="2">
        <v>11</v>
      </c>
      <c r="B21" s="2">
        <v>11.42</v>
      </c>
      <c r="C21" s="2"/>
      <c r="D21" s="2">
        <v>0.26369999999999999</v>
      </c>
      <c r="E21" s="2">
        <v>1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15">
      <c r="A22" s="2">
        <v>12</v>
      </c>
      <c r="B22" s="2">
        <v>12.42</v>
      </c>
      <c r="C22" s="2"/>
      <c r="D22" s="2">
        <v>0.29399999999999998</v>
      </c>
      <c r="E22" s="2">
        <v>1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15">
      <c r="A23" s="2">
        <v>13</v>
      </c>
      <c r="B23" s="2">
        <v>13.42</v>
      </c>
      <c r="C23" s="2"/>
      <c r="D23" s="2">
        <v>0.32890000000000003</v>
      </c>
      <c r="E23" s="2">
        <v>1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15">
      <c r="A24" s="2">
        <v>14</v>
      </c>
      <c r="B24" s="2">
        <v>14.42</v>
      </c>
      <c r="C24" s="2"/>
      <c r="D24" s="2">
        <v>0.36880000000000002</v>
      </c>
      <c r="E24" s="2">
        <v>1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15">
      <c r="A25" s="2">
        <v>15</v>
      </c>
      <c r="B25" s="2">
        <v>15.42</v>
      </c>
      <c r="C25" s="2"/>
      <c r="D25" s="2">
        <v>0.4148</v>
      </c>
      <c r="E25" s="2">
        <v>1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15">
      <c r="A26" s="2">
        <v>16</v>
      </c>
      <c r="B26" s="2">
        <v>16.420000000000002</v>
      </c>
      <c r="C26" s="2"/>
      <c r="D26" s="2">
        <v>0.46810000000000002</v>
      </c>
      <c r="E26" s="2">
        <v>1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0"/>
  <sheetViews>
    <sheetView workbookViewId="0">
      <selection activeCell="F15" sqref="F15"/>
    </sheetView>
  </sheetViews>
  <sheetFormatPr baseColWidth="10" defaultColWidth="12.6640625" defaultRowHeight="15.75" customHeight="1" x14ac:dyDescent="0.15"/>
  <sheetData>
    <row r="1" spans="1:26" ht="15.75" customHeight="1" x14ac:dyDescent="0.1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  <c r="F1" s="2"/>
      <c r="G1" s="2" t="s">
        <v>5</v>
      </c>
      <c r="H1" s="2">
        <v>-20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15">
      <c r="A2" s="3">
        <v>-40</v>
      </c>
      <c r="B2" s="3">
        <v>-38.97</v>
      </c>
      <c r="C2" s="3">
        <v>75.28</v>
      </c>
      <c r="D2" s="2">
        <f>C2/1000</f>
        <v>7.528E-2</v>
      </c>
      <c r="E2" s="3">
        <v>5</v>
      </c>
      <c r="F2" s="2"/>
      <c r="G2" s="2" t="s">
        <v>6</v>
      </c>
      <c r="H2" s="2">
        <v>-21.03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15">
      <c r="A3" s="3">
        <v>-35</v>
      </c>
      <c r="B3" s="3">
        <v>-33.97</v>
      </c>
      <c r="C3" s="3">
        <v>75.34</v>
      </c>
      <c r="D3" s="2">
        <f t="shared" ref="D3:D8" si="0">C3/1000</f>
        <v>7.5340000000000004E-2</v>
      </c>
      <c r="E3" s="3">
        <v>5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15">
      <c r="A4" s="3">
        <v>-30</v>
      </c>
      <c r="B4" s="3">
        <v>-28.97</v>
      </c>
      <c r="C4" s="3">
        <v>75.3</v>
      </c>
      <c r="D4" s="2">
        <f t="shared" si="0"/>
        <v>7.5299999999999992E-2</v>
      </c>
      <c r="E4" s="3">
        <v>5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15">
      <c r="A5" s="3">
        <v>-25</v>
      </c>
      <c r="B5" s="3">
        <v>-23.97</v>
      </c>
      <c r="C5" s="3">
        <v>76.599999999999994</v>
      </c>
      <c r="D5" s="2">
        <f t="shared" si="0"/>
        <v>7.6599999999999988E-2</v>
      </c>
      <c r="E5" s="3">
        <v>5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15">
      <c r="A6" s="3">
        <v>-20</v>
      </c>
      <c r="B6" s="3">
        <v>-18.97</v>
      </c>
      <c r="C6" s="3">
        <v>80.599999999999994</v>
      </c>
      <c r="D6" s="2">
        <f t="shared" si="0"/>
        <v>8.0599999999999991E-2</v>
      </c>
      <c r="E6" s="3">
        <v>5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15">
      <c r="A7" s="3">
        <v>-15</v>
      </c>
      <c r="B7" s="3">
        <v>-13.97</v>
      </c>
      <c r="C7" s="3">
        <v>91.54</v>
      </c>
      <c r="D7" s="2">
        <f t="shared" si="0"/>
        <v>9.154000000000001E-2</v>
      </c>
      <c r="E7" s="3">
        <v>5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15">
      <c r="A8" s="3">
        <v>-10</v>
      </c>
      <c r="B8" s="3">
        <v>-8.9700000000000006</v>
      </c>
      <c r="C8" s="3">
        <v>119.4</v>
      </c>
      <c r="D8" s="2">
        <f t="shared" si="0"/>
        <v>0.11940000000000001</v>
      </c>
      <c r="E8" s="3">
        <v>5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15">
      <c r="A9" s="3">
        <v>-5</v>
      </c>
      <c r="B9" s="3">
        <v>-3.97</v>
      </c>
      <c r="C9" s="3"/>
      <c r="D9" s="2">
        <v>0.18029999999999999</v>
      </c>
      <c r="E9" s="3">
        <v>5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15">
      <c r="A10" s="3">
        <v>0</v>
      </c>
      <c r="B10" s="3">
        <v>1.03</v>
      </c>
      <c r="C10" s="3"/>
      <c r="D10" s="2">
        <v>0.29949999999999999</v>
      </c>
      <c r="E10" s="3">
        <v>5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15">
      <c r="A11" s="3">
        <v>1</v>
      </c>
      <c r="B11" s="3">
        <v>2.0299999999999998</v>
      </c>
      <c r="C11" s="3"/>
      <c r="D11" s="2">
        <v>0.33439999999999998</v>
      </c>
      <c r="E11" s="3">
        <v>5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15">
      <c r="A12" s="3">
        <v>2</v>
      </c>
      <c r="B12" s="3">
        <v>3.03</v>
      </c>
      <c r="C12" s="3"/>
      <c r="D12" s="2">
        <v>0.37309999999999999</v>
      </c>
      <c r="E12" s="3">
        <v>5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15">
      <c r="A13" s="3">
        <v>3</v>
      </c>
      <c r="B13" s="3">
        <v>4.03</v>
      </c>
      <c r="C13" s="3"/>
      <c r="D13" s="2">
        <v>0.41560000000000002</v>
      </c>
      <c r="E13" s="3">
        <v>5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15">
      <c r="A14" s="2">
        <v>4</v>
      </c>
      <c r="B14" s="3">
        <v>5.03</v>
      </c>
      <c r="C14" s="2"/>
      <c r="D14" s="2">
        <v>0.4652</v>
      </c>
      <c r="E14" s="3">
        <v>5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15">
      <c r="A15" s="2">
        <v>5</v>
      </c>
      <c r="B15" s="3">
        <v>6.03</v>
      </c>
      <c r="C15" s="2"/>
      <c r="D15" s="2">
        <v>0.52190000000000003</v>
      </c>
      <c r="E15" s="3">
        <v>5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15">
      <c r="A16" s="2">
        <v>6</v>
      </c>
      <c r="B16" s="3">
        <v>7.03</v>
      </c>
      <c r="C16" s="2"/>
      <c r="D16" s="2">
        <v>0.5867</v>
      </c>
      <c r="E16" s="3">
        <v>5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15">
      <c r="A17" s="2">
        <v>7</v>
      </c>
      <c r="B17" s="3">
        <v>8.0299999999999994</v>
      </c>
      <c r="C17" s="2"/>
      <c r="D17" s="2">
        <v>0.66010000000000002</v>
      </c>
      <c r="E17" s="3">
        <v>5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15">
      <c r="A18" s="2">
        <v>8</v>
      </c>
      <c r="B18" s="3">
        <v>9.0299999999999994</v>
      </c>
      <c r="C18" s="2"/>
      <c r="D18" s="2">
        <v>0.74339999999999995</v>
      </c>
      <c r="E18" s="3">
        <v>5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15">
      <c r="A19" s="2">
        <v>9</v>
      </c>
      <c r="B19" s="3">
        <v>10.029999999999999</v>
      </c>
      <c r="C19" s="2"/>
      <c r="D19" s="2">
        <v>0.83650000000000002</v>
      </c>
      <c r="E19" s="3">
        <v>5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15">
      <c r="A20" s="2">
        <v>10</v>
      </c>
      <c r="B20" s="3">
        <v>11.03</v>
      </c>
      <c r="C20" s="2"/>
      <c r="D20" s="2">
        <v>0.94089999999999996</v>
      </c>
      <c r="E20" s="3">
        <v>5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15">
      <c r="A21" s="2">
        <v>11</v>
      </c>
      <c r="B21" s="2">
        <v>12.03</v>
      </c>
      <c r="C21" s="2"/>
      <c r="D21" s="2">
        <v>1.0569999999999999</v>
      </c>
      <c r="E21" s="3">
        <v>5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15">
      <c r="A22" s="2">
        <v>12</v>
      </c>
      <c r="B22" s="2">
        <v>13.03</v>
      </c>
      <c r="C22" s="2"/>
      <c r="D22" s="2">
        <v>1.1859999999999999</v>
      </c>
      <c r="E22" s="3">
        <v>5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15">
      <c r="A23" s="2">
        <v>13</v>
      </c>
      <c r="B23" s="2">
        <v>14.03</v>
      </c>
      <c r="C23" s="2"/>
      <c r="D23" s="2">
        <v>1.327</v>
      </c>
      <c r="E23" s="3">
        <v>5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15">
      <c r="A24" s="2">
        <v>14</v>
      </c>
      <c r="B24" s="2">
        <v>15.03</v>
      </c>
      <c r="C24" s="2"/>
      <c r="D24" s="2">
        <v>1.48</v>
      </c>
      <c r="E24" s="3">
        <v>5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15">
      <c r="A25" s="2">
        <v>15</v>
      </c>
      <c r="B25" s="2">
        <v>16.03</v>
      </c>
      <c r="C25" s="2"/>
      <c r="D25" s="2">
        <v>1.65</v>
      </c>
      <c r="E25" s="3">
        <v>5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15">
      <c r="A26" s="2">
        <v>16</v>
      </c>
      <c r="B26" s="2">
        <v>17.03</v>
      </c>
      <c r="C26" s="2"/>
      <c r="D26" s="2">
        <v>1.839</v>
      </c>
      <c r="E26" s="3">
        <v>5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15">
      <c r="A27" s="2">
        <v>17</v>
      </c>
      <c r="B27" s="2">
        <v>18.03</v>
      </c>
      <c r="C27" s="2"/>
      <c r="D27" s="2">
        <v>2.052</v>
      </c>
      <c r="E27" s="3">
        <v>5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15">
      <c r="A28" s="2">
        <v>18</v>
      </c>
      <c r="B28" s="2">
        <v>19.03</v>
      </c>
      <c r="C28" s="2"/>
      <c r="D28" s="2">
        <v>2.294</v>
      </c>
      <c r="E28" s="3">
        <v>5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15">
      <c r="A29" s="2">
        <v>19</v>
      </c>
      <c r="B29" s="2">
        <v>20.03</v>
      </c>
      <c r="C29" s="2"/>
      <c r="D29" s="2">
        <v>2.5680000000000001</v>
      </c>
      <c r="E29" s="3">
        <v>5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15">
      <c r="A30" s="2">
        <v>20</v>
      </c>
      <c r="B30" s="2">
        <v>21.03</v>
      </c>
      <c r="C30" s="2"/>
      <c r="D30" s="2">
        <v>2.8809999999999998</v>
      </c>
      <c r="E30" s="3">
        <v>5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15">
      <c r="A31" s="2">
        <v>21</v>
      </c>
      <c r="B31" s="2">
        <v>22.03</v>
      </c>
      <c r="C31" s="2"/>
      <c r="D31" s="2">
        <v>3.2320000000000002</v>
      </c>
      <c r="E31" s="3">
        <v>5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15">
      <c r="A32" s="2">
        <v>22</v>
      </c>
      <c r="B32" s="2">
        <v>23.03</v>
      </c>
      <c r="C32" s="2"/>
      <c r="D32" s="2">
        <v>3.6339999999999999</v>
      </c>
      <c r="E32" s="3">
        <v>5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15">
      <c r="A33" s="2">
        <v>23</v>
      </c>
      <c r="B33" s="2">
        <v>24.03</v>
      </c>
      <c r="C33" s="2"/>
      <c r="D33" s="2">
        <v>4.0860000000000003</v>
      </c>
      <c r="E33" s="3">
        <v>5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000"/>
  <sheetViews>
    <sheetView workbookViewId="0">
      <selection activeCell="E4" sqref="E4"/>
    </sheetView>
  </sheetViews>
  <sheetFormatPr baseColWidth="10" defaultColWidth="12.6640625" defaultRowHeight="15.75" customHeight="1" x14ac:dyDescent="0.15"/>
  <sheetData>
    <row r="1" spans="1:26" ht="15.75" customHeight="1" x14ac:dyDescent="0.1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  <c r="F1" s="2"/>
      <c r="G1" s="2" t="s">
        <v>5</v>
      </c>
      <c r="H1" s="2">
        <v>-20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15">
      <c r="A2" s="3">
        <v>-40</v>
      </c>
      <c r="B2" s="3">
        <v>-38.51</v>
      </c>
      <c r="C2" s="3">
        <v>74.63</v>
      </c>
      <c r="D2" s="2">
        <f>C2/1000</f>
        <v>7.4630000000000002E-2</v>
      </c>
      <c r="E2" s="3">
        <v>10</v>
      </c>
      <c r="F2" s="2"/>
      <c r="G2" s="2" t="s">
        <v>6</v>
      </c>
      <c r="H2" s="2">
        <v>-21.49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15">
      <c r="A3" s="3">
        <v>-35</v>
      </c>
      <c r="B3" s="3">
        <v>-33.51</v>
      </c>
      <c r="C3" s="3">
        <v>74.42</v>
      </c>
      <c r="D3" s="2">
        <f t="shared" ref="D3:D7" si="0">C3/1000</f>
        <v>7.442E-2</v>
      </c>
      <c r="E3" s="3">
        <v>10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15">
      <c r="A4" s="3">
        <v>-30</v>
      </c>
      <c r="B4" s="3">
        <v>-28.51</v>
      </c>
      <c r="C4" s="3">
        <v>75.28</v>
      </c>
      <c r="D4" s="2">
        <f t="shared" si="0"/>
        <v>7.528E-2</v>
      </c>
      <c r="E4" s="3">
        <v>10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15">
      <c r="A5" s="3">
        <v>-25</v>
      </c>
      <c r="B5" s="3">
        <v>-23.51</v>
      </c>
      <c r="C5" s="3">
        <v>78.599999999999994</v>
      </c>
      <c r="D5" s="2">
        <f t="shared" si="0"/>
        <v>7.8599999999999989E-2</v>
      </c>
      <c r="E5" s="3">
        <v>10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15">
      <c r="A6" s="3">
        <v>-20</v>
      </c>
      <c r="B6" s="3">
        <v>-18.510000000000002</v>
      </c>
      <c r="C6" s="3">
        <v>87.2</v>
      </c>
      <c r="D6" s="2">
        <f t="shared" si="0"/>
        <v>8.72E-2</v>
      </c>
      <c r="E6" s="3">
        <v>10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15">
      <c r="A7" s="3">
        <v>-15</v>
      </c>
      <c r="B7" s="3">
        <v>-13.51</v>
      </c>
      <c r="C7" s="3">
        <v>111.7</v>
      </c>
      <c r="D7" s="2">
        <f t="shared" si="0"/>
        <v>0.11170000000000001</v>
      </c>
      <c r="E7" s="3">
        <v>10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15">
      <c r="A8" s="3">
        <v>-10</v>
      </c>
      <c r="B8" s="3">
        <v>-8.51</v>
      </c>
      <c r="C8" s="3"/>
      <c r="D8" s="2">
        <v>0.1651</v>
      </c>
      <c r="E8" s="3">
        <v>10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15">
      <c r="A9" s="3">
        <v>-5</v>
      </c>
      <c r="B9" s="3">
        <v>-3.51</v>
      </c>
      <c r="C9" s="3"/>
      <c r="D9" s="2">
        <v>0.26529999999999998</v>
      </c>
      <c r="E9" s="3">
        <v>10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15">
      <c r="A10" s="3">
        <v>0</v>
      </c>
      <c r="B10" s="3">
        <v>1.49</v>
      </c>
      <c r="C10" s="3"/>
      <c r="D10" s="2">
        <v>0.4536</v>
      </c>
      <c r="E10" s="3">
        <v>10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15">
      <c r="A11" s="3">
        <v>1</v>
      </c>
      <c r="B11" s="3">
        <v>2.4900000000000002</v>
      </c>
      <c r="C11" s="3"/>
      <c r="D11" s="2">
        <v>0.50960000000000005</v>
      </c>
      <c r="E11" s="3">
        <v>10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15">
      <c r="A12" s="3">
        <v>2</v>
      </c>
      <c r="B12" s="3">
        <v>3.49</v>
      </c>
      <c r="C12" s="3"/>
      <c r="D12" s="2">
        <v>0.57269999999999999</v>
      </c>
      <c r="E12" s="3">
        <v>10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15">
      <c r="A13" s="3">
        <v>3</v>
      </c>
      <c r="B13" s="3">
        <v>4.49</v>
      </c>
      <c r="C13" s="3"/>
      <c r="D13" s="2">
        <v>0.64180000000000004</v>
      </c>
      <c r="E13" s="3">
        <v>10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15">
      <c r="A14" s="2">
        <v>4</v>
      </c>
      <c r="B14" s="3">
        <v>5.49</v>
      </c>
      <c r="C14" s="2"/>
      <c r="D14" s="2">
        <v>0.72060000000000002</v>
      </c>
      <c r="E14" s="3">
        <v>10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15">
      <c r="A15" s="2">
        <v>5</v>
      </c>
      <c r="B15" s="3">
        <v>6.49</v>
      </c>
      <c r="C15" s="2"/>
      <c r="D15" s="2">
        <v>0.80730000000000002</v>
      </c>
      <c r="E15" s="3">
        <v>10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15">
      <c r="A16" s="2">
        <v>6</v>
      </c>
      <c r="B16" s="3">
        <v>7.49</v>
      </c>
      <c r="C16" s="2"/>
      <c r="D16" s="2">
        <v>0.90559999999999996</v>
      </c>
      <c r="E16" s="3">
        <v>10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15">
      <c r="A17" s="2">
        <v>7</v>
      </c>
      <c r="B17" s="3">
        <v>8.49</v>
      </c>
      <c r="C17" s="2"/>
      <c r="D17" s="2">
        <v>1.0138</v>
      </c>
      <c r="E17" s="3">
        <v>10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15">
      <c r="A18" s="2">
        <v>8</v>
      </c>
      <c r="B18" s="3">
        <v>9.49</v>
      </c>
      <c r="C18" s="2"/>
      <c r="D18" s="2">
        <v>1.1338999999999999</v>
      </c>
      <c r="E18" s="3">
        <v>10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15">
      <c r="A19" s="2">
        <v>9</v>
      </c>
      <c r="B19" s="3">
        <v>10.49</v>
      </c>
      <c r="C19" s="2"/>
      <c r="D19" s="2">
        <v>1.268</v>
      </c>
      <c r="E19" s="3">
        <v>10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15">
      <c r="A20" s="2">
        <v>10</v>
      </c>
      <c r="B20" s="3">
        <v>11.49</v>
      </c>
      <c r="C20" s="2"/>
      <c r="D20" s="2">
        <v>1.4119999999999999</v>
      </c>
      <c r="E20" s="3">
        <v>10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15">
      <c r="A21" s="2">
        <v>11</v>
      </c>
      <c r="B21" s="2">
        <v>12.49</v>
      </c>
      <c r="C21" s="2"/>
      <c r="D21" s="2">
        <v>1.569</v>
      </c>
      <c r="E21" s="3">
        <v>10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15">
      <c r="A22" s="2">
        <v>12</v>
      </c>
      <c r="B22" s="2">
        <v>13.49</v>
      </c>
      <c r="C22" s="2"/>
      <c r="D22" s="2">
        <v>1.7410000000000001</v>
      </c>
      <c r="E22" s="3">
        <v>10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15">
      <c r="A23" s="2">
        <v>13</v>
      </c>
      <c r="B23" s="2">
        <v>14.49</v>
      </c>
      <c r="C23" s="2"/>
      <c r="D23" s="2">
        <v>1.9159999999999999</v>
      </c>
      <c r="E23" s="3">
        <v>10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15">
      <c r="A24" s="2">
        <v>14</v>
      </c>
      <c r="B24" s="2">
        <v>15.49</v>
      </c>
      <c r="C24" s="2"/>
      <c r="D24" s="2">
        <v>2.137</v>
      </c>
      <c r="E24" s="3">
        <v>10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15">
      <c r="A25" s="2">
        <v>15</v>
      </c>
      <c r="B25" s="2">
        <v>16.489999999999998</v>
      </c>
      <c r="C25" s="2"/>
      <c r="D25" s="2">
        <v>2.3820000000000001</v>
      </c>
      <c r="E25" s="3">
        <v>10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15">
      <c r="A26" s="2">
        <v>16</v>
      </c>
      <c r="B26" s="2">
        <v>17.489999999999998</v>
      </c>
      <c r="C26" s="2"/>
      <c r="D26" s="2">
        <v>2.67</v>
      </c>
      <c r="E26" s="3">
        <v>10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15">
      <c r="A27" s="2">
        <v>17</v>
      </c>
      <c r="B27" s="2">
        <v>18.489999999999998</v>
      </c>
      <c r="C27" s="2"/>
      <c r="D27" s="2">
        <v>2.99</v>
      </c>
      <c r="E27" s="3">
        <v>10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15">
      <c r="A28" s="2">
        <v>18</v>
      </c>
      <c r="B28" s="2">
        <v>19.489999999999998</v>
      </c>
      <c r="C28" s="2"/>
      <c r="D28" s="2">
        <v>3.3610000000000002</v>
      </c>
      <c r="E28" s="3">
        <v>10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15">
      <c r="A29" s="2">
        <v>19</v>
      </c>
      <c r="B29" s="2">
        <v>20.49</v>
      </c>
      <c r="C29" s="2"/>
      <c r="D29" s="2">
        <v>3.7839999999999998</v>
      </c>
      <c r="E29" s="3">
        <v>10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15">
      <c r="A30" s="2">
        <v>20</v>
      </c>
      <c r="B30" s="2">
        <v>21.49</v>
      </c>
      <c r="C30" s="2"/>
      <c r="D30" s="2">
        <v>4.26</v>
      </c>
      <c r="E30" s="3">
        <v>10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15">
      <c r="A31" s="2">
        <v>21</v>
      </c>
      <c r="B31" s="2">
        <v>22.49</v>
      </c>
      <c r="C31" s="2"/>
      <c r="D31" s="2">
        <v>4.8</v>
      </c>
      <c r="E31" s="3">
        <v>10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15">
      <c r="A32" s="2">
        <v>22</v>
      </c>
      <c r="B32" s="2">
        <v>23.49</v>
      </c>
      <c r="C32" s="2"/>
      <c r="D32" s="2">
        <v>4.9660000000000002</v>
      </c>
      <c r="E32" s="3">
        <v>10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1000"/>
  <sheetViews>
    <sheetView workbookViewId="0">
      <selection activeCell="F6" sqref="F6"/>
    </sheetView>
  </sheetViews>
  <sheetFormatPr baseColWidth="10" defaultColWidth="12.6640625" defaultRowHeight="15.75" customHeight="1" x14ac:dyDescent="0.15"/>
  <sheetData>
    <row r="1" spans="1:26" ht="15.75" customHeight="1" x14ac:dyDescent="0.1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  <c r="F1" s="2"/>
      <c r="G1" s="2" t="s">
        <v>5</v>
      </c>
      <c r="H1" s="2">
        <v>-20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15">
      <c r="A2" s="3">
        <v>-40</v>
      </c>
      <c r="B2" s="3">
        <v>-38.020000000000003</v>
      </c>
      <c r="C2" s="3">
        <v>72.25</v>
      </c>
      <c r="D2" s="2">
        <f>C2/1000</f>
        <v>7.2249999999999995E-2</v>
      </c>
      <c r="E2" s="3">
        <v>15</v>
      </c>
      <c r="F2" s="2"/>
      <c r="G2" s="2" t="s">
        <v>6</v>
      </c>
      <c r="H2" s="2">
        <v>-21.98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15">
      <c r="A3" s="3">
        <v>-35</v>
      </c>
      <c r="B3" s="3">
        <v>-33.020000000000003</v>
      </c>
      <c r="C3" s="3">
        <v>72.66</v>
      </c>
      <c r="D3" s="2">
        <f t="shared" ref="D3:D6" si="0">C3/1000</f>
        <v>7.2660000000000002E-2</v>
      </c>
      <c r="E3" s="3">
        <v>15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15">
      <c r="A4" s="3">
        <v>-30</v>
      </c>
      <c r="B4" s="3">
        <v>-28.02</v>
      </c>
      <c r="C4" s="3">
        <v>74.010000000000005</v>
      </c>
      <c r="D4" s="2">
        <f t="shared" si="0"/>
        <v>7.4010000000000006E-2</v>
      </c>
      <c r="E4" s="3">
        <v>15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15">
      <c r="A5" s="3">
        <v>-25</v>
      </c>
      <c r="B5" s="3">
        <v>-23.02</v>
      </c>
      <c r="C5" s="3">
        <v>78.77</v>
      </c>
      <c r="D5" s="2">
        <f t="shared" si="0"/>
        <v>7.8769999999999993E-2</v>
      </c>
      <c r="E5" s="3">
        <v>15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15">
      <c r="A6" s="3">
        <v>-20</v>
      </c>
      <c r="B6" s="3">
        <v>-18.02</v>
      </c>
      <c r="C6" s="3">
        <v>91.7</v>
      </c>
      <c r="D6" s="2">
        <f t="shared" si="0"/>
        <v>9.1700000000000004E-2</v>
      </c>
      <c r="E6" s="3">
        <v>15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15">
      <c r="A7" s="3">
        <v>-15</v>
      </c>
      <c r="B7" s="3">
        <v>-13.02</v>
      </c>
      <c r="C7" s="3"/>
      <c r="D7" s="2">
        <v>0.1232</v>
      </c>
      <c r="E7" s="3">
        <v>15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15">
      <c r="A8" s="3">
        <v>-10</v>
      </c>
      <c r="B8" s="3">
        <v>-8.02</v>
      </c>
      <c r="C8" s="3"/>
      <c r="D8" s="2">
        <v>0.1895</v>
      </c>
      <c r="E8" s="3">
        <v>15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15">
      <c r="A9" s="3">
        <v>-5</v>
      </c>
      <c r="B9" s="3">
        <v>-3.02</v>
      </c>
      <c r="C9" s="3"/>
      <c r="D9" s="2">
        <v>0.316</v>
      </c>
      <c r="E9" s="3">
        <v>15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15">
      <c r="A10" s="3">
        <v>0</v>
      </c>
      <c r="B10" s="3">
        <v>1.98</v>
      </c>
      <c r="C10" s="3"/>
      <c r="D10" s="2">
        <v>0.56010000000000004</v>
      </c>
      <c r="E10" s="3">
        <v>15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15">
      <c r="A11" s="3">
        <v>1</v>
      </c>
      <c r="B11" s="3">
        <v>2.98</v>
      </c>
      <c r="C11" s="3"/>
      <c r="D11" s="2">
        <v>0.62690000000000001</v>
      </c>
      <c r="E11" s="3">
        <v>15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15">
      <c r="A12" s="3">
        <v>2</v>
      </c>
      <c r="B12" s="3">
        <v>3.98</v>
      </c>
      <c r="C12" s="3"/>
      <c r="D12" s="2">
        <v>0.70350000000000001</v>
      </c>
      <c r="E12" s="3">
        <v>15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15">
      <c r="A13" s="3">
        <v>3</v>
      </c>
      <c r="B13" s="3">
        <v>4.9800000000000004</v>
      </c>
      <c r="C13" s="3"/>
      <c r="D13" s="2">
        <v>0.78839999999999999</v>
      </c>
      <c r="E13" s="3">
        <v>15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15">
      <c r="A14" s="2">
        <v>4</v>
      </c>
      <c r="B14" s="3">
        <v>5.98</v>
      </c>
      <c r="C14" s="2"/>
      <c r="D14" s="2">
        <v>0.88429999999999997</v>
      </c>
      <c r="E14" s="3">
        <v>15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15">
      <c r="A15" s="2">
        <v>5</v>
      </c>
      <c r="B15" s="3">
        <v>6.98</v>
      </c>
      <c r="C15" s="2"/>
      <c r="D15" s="2">
        <v>0.99070000000000003</v>
      </c>
      <c r="E15" s="3">
        <v>15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15">
      <c r="A16" s="2">
        <v>6</v>
      </c>
      <c r="B16" s="3">
        <v>7.98</v>
      </c>
      <c r="C16" s="2"/>
      <c r="D16" s="2">
        <v>1.1081000000000001</v>
      </c>
      <c r="E16" s="3">
        <v>15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15">
      <c r="A17" s="2">
        <v>7</v>
      </c>
      <c r="B17" s="3">
        <v>8.98</v>
      </c>
      <c r="C17" s="2"/>
      <c r="D17" s="2">
        <v>1.2370000000000001</v>
      </c>
      <c r="E17" s="3">
        <v>15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15">
      <c r="A18" s="2">
        <v>8</v>
      </c>
      <c r="B18" s="3">
        <v>9.98</v>
      </c>
      <c r="C18" s="2"/>
      <c r="D18" s="2">
        <v>1.3779999999999999</v>
      </c>
      <c r="E18" s="3">
        <v>15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15">
      <c r="A19" s="2">
        <v>9</v>
      </c>
      <c r="B19" s="3">
        <v>10.98</v>
      </c>
      <c r="C19" s="2"/>
      <c r="D19" s="2">
        <v>1.53</v>
      </c>
      <c r="E19" s="3">
        <v>15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15">
      <c r="A20" s="2">
        <v>10</v>
      </c>
      <c r="B20" s="3">
        <v>11.98</v>
      </c>
      <c r="C20" s="2"/>
      <c r="D20" s="2">
        <v>1.6919999999999999</v>
      </c>
      <c r="E20" s="3">
        <v>15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15">
      <c r="A21" s="2">
        <v>11</v>
      </c>
      <c r="B21" s="2">
        <v>12.98</v>
      </c>
      <c r="C21" s="2"/>
      <c r="D21" s="2">
        <v>1.883</v>
      </c>
      <c r="E21" s="3">
        <v>15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15">
      <c r="A22" s="2">
        <v>12</v>
      </c>
      <c r="B22" s="2">
        <v>13.98</v>
      </c>
      <c r="C22" s="2"/>
      <c r="D22" s="2">
        <v>2.0859999999999999</v>
      </c>
      <c r="E22" s="3">
        <v>15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15">
      <c r="A23" s="2">
        <v>13</v>
      </c>
      <c r="B23" s="2">
        <v>14.98</v>
      </c>
      <c r="C23" s="2"/>
      <c r="D23" s="2">
        <v>2.3260000000000001</v>
      </c>
      <c r="E23" s="3">
        <v>15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15">
      <c r="A24" s="2">
        <v>14</v>
      </c>
      <c r="B24" s="2">
        <v>15.98</v>
      </c>
      <c r="C24" s="2"/>
      <c r="D24" s="2">
        <v>2.601</v>
      </c>
      <c r="E24" s="3">
        <v>15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15">
      <c r="A25" s="2">
        <v>15</v>
      </c>
      <c r="B25" s="2">
        <v>16.98</v>
      </c>
      <c r="C25" s="2"/>
      <c r="D25" s="2">
        <v>2.911</v>
      </c>
      <c r="E25" s="3">
        <v>15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15">
      <c r="A26" s="2">
        <v>16</v>
      </c>
      <c r="B26" s="2">
        <v>17.98</v>
      </c>
      <c r="C26" s="2"/>
      <c r="D26" s="2">
        <v>3.26</v>
      </c>
      <c r="E26" s="3">
        <v>15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15">
      <c r="A27" s="2">
        <v>17</v>
      </c>
      <c r="B27" s="2">
        <v>18.98</v>
      </c>
      <c r="C27" s="2"/>
      <c r="D27" s="2">
        <v>3.653</v>
      </c>
      <c r="E27" s="3">
        <v>15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15">
      <c r="A28" s="2">
        <v>18</v>
      </c>
      <c r="B28" s="2">
        <v>19.98</v>
      </c>
      <c r="C28" s="2"/>
      <c r="D28" s="2">
        <v>4.0910000000000002</v>
      </c>
      <c r="E28" s="3">
        <v>15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15">
      <c r="A29" s="2">
        <v>19</v>
      </c>
      <c r="B29" s="2">
        <v>20.98</v>
      </c>
      <c r="C29" s="2"/>
      <c r="D29" s="2">
        <v>4.5880000000000001</v>
      </c>
      <c r="E29" s="3">
        <v>15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15">
      <c r="A30" s="2">
        <v>20</v>
      </c>
      <c r="B30" s="2">
        <v>21.98</v>
      </c>
      <c r="C30" s="2"/>
      <c r="D30" s="2">
        <v>4.9660000000000002</v>
      </c>
      <c r="E30" s="3">
        <v>15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15">
      <c r="A31" s="2">
        <v>21</v>
      </c>
      <c r="B31" s="2">
        <v>22.98</v>
      </c>
      <c r="C31" s="2"/>
      <c r="D31" s="2">
        <v>4.9660000000000002</v>
      </c>
      <c r="E31" s="3">
        <v>15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Z1000"/>
  <sheetViews>
    <sheetView workbookViewId="0">
      <selection activeCell="E5" sqref="E5"/>
    </sheetView>
  </sheetViews>
  <sheetFormatPr baseColWidth="10" defaultColWidth="12.6640625" defaultRowHeight="15.75" customHeight="1" x14ac:dyDescent="0.15"/>
  <sheetData>
    <row r="1" spans="1:26" ht="15.75" customHeight="1" x14ac:dyDescent="0.1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  <c r="F1" s="2"/>
      <c r="G1" s="2" t="s">
        <v>5</v>
      </c>
      <c r="H1" s="2">
        <v>-20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15">
      <c r="A2" s="3">
        <v>-40</v>
      </c>
      <c r="B2" s="3">
        <v>-37.85</v>
      </c>
      <c r="C2" s="3">
        <v>72.400000000000006</v>
      </c>
      <c r="D2" s="2">
        <f>C2/1000</f>
        <v>7.2400000000000006E-2</v>
      </c>
      <c r="E2" s="3">
        <v>18</v>
      </c>
      <c r="F2" s="2"/>
      <c r="G2" s="2" t="s">
        <v>6</v>
      </c>
      <c r="H2" s="2">
        <v>-22.15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15">
      <c r="A3" s="3">
        <v>-35</v>
      </c>
      <c r="B3" s="3">
        <v>-32.85</v>
      </c>
      <c r="C3" s="3">
        <v>73.099999999999994</v>
      </c>
      <c r="D3" s="2">
        <f t="shared" ref="D3:D6" si="0">C3/1000</f>
        <v>7.3099999999999998E-2</v>
      </c>
      <c r="E3" s="3">
        <v>18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15">
      <c r="A4" s="3">
        <v>-30</v>
      </c>
      <c r="B4" s="3">
        <v>-27.85</v>
      </c>
      <c r="C4" s="3">
        <v>76.099999999999994</v>
      </c>
      <c r="D4" s="2">
        <f t="shared" si="0"/>
        <v>7.6100000000000001E-2</v>
      </c>
      <c r="E4" s="3">
        <v>18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15">
      <c r="A5" s="3">
        <v>-25</v>
      </c>
      <c r="B5" s="3">
        <v>-22.85</v>
      </c>
      <c r="C5" s="3">
        <v>83.6</v>
      </c>
      <c r="D5" s="2">
        <f t="shared" si="0"/>
        <v>8.3599999999999994E-2</v>
      </c>
      <c r="E5" s="3">
        <v>18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15">
      <c r="A6" s="3">
        <v>-20</v>
      </c>
      <c r="B6" s="3">
        <v>-17.850000000000001</v>
      </c>
      <c r="C6" s="3">
        <v>103.58</v>
      </c>
      <c r="D6" s="2">
        <f t="shared" si="0"/>
        <v>0.10357999999999999</v>
      </c>
      <c r="E6" s="3">
        <v>18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15">
      <c r="A7" s="3">
        <v>-15</v>
      </c>
      <c r="B7" s="3">
        <v>-12.85</v>
      </c>
      <c r="C7" s="3"/>
      <c r="D7" s="2">
        <v>0.15049999999999999</v>
      </c>
      <c r="E7" s="3">
        <v>18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15">
      <c r="A8" s="3">
        <v>-10</v>
      </c>
      <c r="B8" s="3">
        <v>-7.85</v>
      </c>
      <c r="C8" s="3"/>
      <c r="D8" s="2">
        <v>0.24310000000000001</v>
      </c>
      <c r="E8" s="3">
        <v>18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15">
      <c r="A9" s="3">
        <v>-5</v>
      </c>
      <c r="B9" s="3">
        <v>-2.85</v>
      </c>
      <c r="C9" s="3"/>
      <c r="D9" s="2">
        <v>0.41570000000000001</v>
      </c>
      <c r="E9" s="3">
        <v>18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15">
      <c r="A10" s="3">
        <v>0</v>
      </c>
      <c r="B10" s="3">
        <v>2.15</v>
      </c>
      <c r="C10" s="3"/>
      <c r="D10" s="2">
        <v>0.71940000000000004</v>
      </c>
      <c r="E10" s="3">
        <v>18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15">
      <c r="A11" s="3">
        <v>1</v>
      </c>
      <c r="B11" s="3">
        <v>3.15</v>
      </c>
      <c r="C11" s="3"/>
      <c r="D11" s="2">
        <v>0.80659999999999998</v>
      </c>
      <c r="E11" s="3">
        <v>18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15">
      <c r="A12" s="3">
        <v>2</v>
      </c>
      <c r="B12" s="3">
        <v>4.1500000000000004</v>
      </c>
      <c r="C12" s="3"/>
      <c r="D12" s="2">
        <v>0.90359999999999996</v>
      </c>
      <c r="E12" s="3">
        <v>18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15">
      <c r="A13" s="3">
        <v>3</v>
      </c>
      <c r="B13" s="3">
        <v>5.15</v>
      </c>
      <c r="C13" s="3"/>
      <c r="D13" s="2">
        <v>1.0119</v>
      </c>
      <c r="E13" s="3">
        <v>18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15">
      <c r="A14" s="2">
        <v>4</v>
      </c>
      <c r="B14" s="3">
        <v>6.15</v>
      </c>
      <c r="C14" s="2"/>
      <c r="D14" s="2">
        <v>1.1312</v>
      </c>
      <c r="E14" s="3">
        <v>18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15">
      <c r="A15" s="2">
        <v>5</v>
      </c>
      <c r="B15" s="3">
        <v>7.15</v>
      </c>
      <c r="C15" s="2"/>
      <c r="D15" s="2">
        <v>1.2629999999999999</v>
      </c>
      <c r="E15" s="3">
        <v>18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15">
      <c r="A16" s="2">
        <v>6</v>
      </c>
      <c r="B16" s="3">
        <v>8.15</v>
      </c>
      <c r="C16" s="2"/>
      <c r="D16" s="2">
        <v>1.3959999999999999</v>
      </c>
      <c r="E16" s="3">
        <v>18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15">
      <c r="A17" s="2">
        <v>7</v>
      </c>
      <c r="B17" s="3">
        <v>9.15</v>
      </c>
      <c r="C17" s="2"/>
      <c r="D17" s="2">
        <v>1.552</v>
      </c>
      <c r="E17" s="3">
        <v>18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15">
      <c r="A18" s="2">
        <v>8</v>
      </c>
      <c r="B18" s="3">
        <v>10.15</v>
      </c>
      <c r="C18" s="2"/>
      <c r="D18" s="2">
        <v>1.722</v>
      </c>
      <c r="E18" s="3">
        <v>18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15">
      <c r="A19" s="2">
        <v>9</v>
      </c>
      <c r="B19" s="3">
        <v>11.15</v>
      </c>
      <c r="C19" s="2"/>
      <c r="D19" s="2">
        <v>1.9119999999999999</v>
      </c>
      <c r="E19" s="3">
        <v>18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15">
      <c r="A20" s="2">
        <v>10</v>
      </c>
      <c r="B20" s="3">
        <v>12.15</v>
      </c>
      <c r="C20" s="2"/>
      <c r="D20" s="2">
        <v>2.1269999999999998</v>
      </c>
      <c r="E20" s="3">
        <v>18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15">
      <c r="A21" s="2">
        <v>11</v>
      </c>
      <c r="B21" s="2">
        <v>13.15</v>
      </c>
      <c r="C21" s="2"/>
      <c r="D21" s="2">
        <v>2.3690000000000002</v>
      </c>
      <c r="E21" s="3">
        <v>18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15">
      <c r="A22" s="2">
        <v>12</v>
      </c>
      <c r="B22" s="2">
        <v>14.15</v>
      </c>
      <c r="C22" s="2"/>
      <c r="D22" s="2">
        <v>2.6429999999999998</v>
      </c>
      <c r="E22" s="3">
        <v>18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15">
      <c r="A23" s="2">
        <v>13</v>
      </c>
      <c r="B23" s="2">
        <v>15.15</v>
      </c>
      <c r="C23" s="2"/>
      <c r="D23" s="2">
        <v>2.9529999999999998</v>
      </c>
      <c r="E23" s="3">
        <v>18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15">
      <c r="A24" s="2">
        <v>14</v>
      </c>
      <c r="B24" s="2">
        <v>16.149999999999999</v>
      </c>
      <c r="C24" s="2"/>
      <c r="D24" s="2">
        <v>3.302</v>
      </c>
      <c r="E24" s="3">
        <v>18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15">
      <c r="A25" s="2">
        <v>15</v>
      </c>
      <c r="B25" s="2">
        <v>17.149999999999999</v>
      </c>
      <c r="C25" s="2"/>
      <c r="D25" s="2">
        <v>3.6970000000000001</v>
      </c>
      <c r="E25" s="3">
        <v>18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15">
      <c r="A26" s="2">
        <v>16</v>
      </c>
      <c r="B26" s="2">
        <v>18.149999999999999</v>
      </c>
      <c r="C26" s="2"/>
      <c r="D26" s="2">
        <v>4.1360000000000001</v>
      </c>
      <c r="E26" s="3">
        <v>18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15">
      <c r="A27" s="2">
        <v>17</v>
      </c>
      <c r="B27" s="2">
        <v>19.149999999999999</v>
      </c>
      <c r="C27" s="2"/>
      <c r="D27" s="2">
        <v>4.6310000000000002</v>
      </c>
      <c r="E27" s="3">
        <v>18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15">
      <c r="A28" s="2">
        <v>18</v>
      </c>
      <c r="B28" s="2">
        <v>20.149999999999999</v>
      </c>
      <c r="C28" s="2"/>
      <c r="D28" s="2">
        <v>4.9660000000000002</v>
      </c>
      <c r="E28" s="3">
        <v>18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15">
      <c r="A29" s="2">
        <v>19</v>
      </c>
      <c r="B29" s="2">
        <v>21.15</v>
      </c>
      <c r="C29" s="2"/>
      <c r="D29" s="2">
        <v>4.9660000000000002</v>
      </c>
      <c r="E29" s="3">
        <v>18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15">
      <c r="A30" s="2">
        <v>20</v>
      </c>
      <c r="B30" s="2">
        <v>22.15</v>
      </c>
      <c r="C30" s="2"/>
      <c r="D30" s="2">
        <v>4.9669999999999996</v>
      </c>
      <c r="E30" s="3">
        <v>18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Jay Frothingham</cp:lastModifiedBy>
  <dcterms:created xsi:type="dcterms:W3CDTF">2026-03-06T19:50:26Z</dcterms:created>
  <dcterms:modified xsi:type="dcterms:W3CDTF">2026-03-24T17:21:47Z</dcterms:modified>
</cp:coreProperties>
</file>