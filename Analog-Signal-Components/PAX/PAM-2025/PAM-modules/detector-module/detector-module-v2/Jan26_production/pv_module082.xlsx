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jfrothingham/Code/Front-Page/Analog-Signal-Components/PAX/PAM-2025/PAM-modules/detector-module/detector-module-v2/Jan26_production/"/>
    </mc:Choice>
  </mc:AlternateContent>
  <xr:revisionPtr revIDLastSave="0" documentId="13_ncr:1_{CBCE1612-3B22-1A44-AC8A-32BAED0784E6}" xr6:coauthVersionLast="47" xr6:coauthVersionMax="47" xr10:uidLastSave="{00000000-0000-0000-0000-000000000000}"/>
  <bookViews>
    <workbookView xWindow="19600" yWindow="680" windowWidth="14320" windowHeight="11920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2" i="1"/>
  <c r="D3" i="2"/>
  <c r="D4" i="2"/>
  <c r="D2" i="2"/>
  <c r="D3" i="3"/>
  <c r="D4" i="3"/>
  <c r="D2" i="3"/>
  <c r="D3" i="4"/>
  <c r="D4" i="4"/>
  <c r="D2" i="4"/>
  <c r="D3" i="5"/>
  <c r="D4" i="5"/>
  <c r="D2" i="5"/>
</calcChain>
</file>

<file path=xl/sharedStrings.xml><?xml version="1.0" encoding="utf-8"?>
<sst xmlns="http://schemas.openxmlformats.org/spreadsheetml/2006/main" count="35" uniqueCount="7">
  <si>
    <t>Input</t>
  </si>
  <si>
    <t>Voltage (mv)</t>
  </si>
  <si>
    <t>Voltage (V)</t>
  </si>
  <si>
    <t>Freq (GHz)</t>
  </si>
  <si>
    <t>Output level (dBm)</t>
  </si>
  <si>
    <t>commanded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</si>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</sst>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1" fillId="0" borderId="0" xfId="0" applyFont="1"/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>
      <selection activeCell="F16" sqref="F16"/>
    </sheetView>
  </sheetViews>
  <sheetFormatPr baseColWidth="10" defaultColWidth="12.6640625" defaultRowHeight="15.75" customHeight="1" x14ac:dyDescent="0.15"/>
  <sheetData>
    <row r="1" spans="1:26" ht="15.75" customHeight="1" x14ac:dyDescent="0.1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2"/>
      <c r="G1" s="2" t="s">
        <v>5</v>
      </c>
      <c r="H1" s="2">
        <v>-20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15">
      <c r="A2" s="3">
        <v>-40</v>
      </c>
      <c r="B2" s="3">
        <v>-39.47</v>
      </c>
      <c r="C2" s="3">
        <v>20.100000000000001</v>
      </c>
      <c r="D2" s="2">
        <f>C2/1000</f>
        <v>2.01E-2</v>
      </c>
      <c r="E2" s="3">
        <v>1</v>
      </c>
      <c r="F2" s="2"/>
      <c r="G2" s="2" t="s">
        <v>6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15">
      <c r="A3" s="3">
        <v>-35</v>
      </c>
      <c r="B3" s="3">
        <v>-34.47</v>
      </c>
      <c r="C3" s="3">
        <v>39.5</v>
      </c>
      <c r="D3" s="2">
        <f>C3/1000</f>
        <v>3.95E-2</v>
      </c>
      <c r="E3" s="3">
        <v>1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15">
      <c r="A4" s="3">
        <v>-30</v>
      </c>
      <c r="B4" s="3">
        <v>-29.47</v>
      </c>
      <c r="C4" s="3"/>
      <c r="D4" s="2">
        <v>0.12089999999999999</v>
      </c>
      <c r="E4" s="3">
        <v>1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15">
      <c r="A5" s="3">
        <v>-25</v>
      </c>
      <c r="B5" s="3">
        <v>-24.47</v>
      </c>
      <c r="C5" s="3"/>
      <c r="D5" s="2">
        <v>0.19750000000000001</v>
      </c>
      <c r="E5" s="3">
        <v>1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15">
      <c r="A6" s="3">
        <v>-20</v>
      </c>
      <c r="B6" s="3">
        <v>-19.47</v>
      </c>
      <c r="C6" s="3"/>
      <c r="D6" s="2">
        <v>0.34989999999999999</v>
      </c>
      <c r="E6" s="3">
        <v>1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15">
      <c r="A7" s="3">
        <v>-15</v>
      </c>
      <c r="B7" s="3">
        <v>-14.47</v>
      </c>
      <c r="C7" s="3"/>
      <c r="D7" s="2">
        <v>0.63739999999999997</v>
      </c>
      <c r="E7" s="3">
        <v>1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15">
      <c r="A8" s="3">
        <v>-10</v>
      </c>
      <c r="B8" s="3">
        <v>-9.4700000000000006</v>
      </c>
      <c r="C8" s="3"/>
      <c r="D8" s="2">
        <v>1.1672</v>
      </c>
      <c r="E8" s="3">
        <v>1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15">
      <c r="A9" s="3">
        <v>-5</v>
      </c>
      <c r="B9" s="3">
        <v>-4.47</v>
      </c>
      <c r="C9" s="3"/>
      <c r="D9" s="2">
        <v>2.0310000000000001</v>
      </c>
      <c r="E9" s="3">
        <v>1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15">
      <c r="A10" s="3">
        <v>0</v>
      </c>
      <c r="B10" s="3">
        <v>0.53</v>
      </c>
      <c r="C10" s="3"/>
      <c r="D10" s="2">
        <v>3.59</v>
      </c>
      <c r="E10" s="3">
        <v>1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15">
      <c r="A11" s="3">
        <v>1</v>
      </c>
      <c r="B11" s="3">
        <v>1.53</v>
      </c>
      <c r="C11" s="3"/>
      <c r="D11" s="2">
        <v>4.0350000000000001</v>
      </c>
      <c r="E11" s="3">
        <v>1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15">
      <c r="A12" s="3">
        <v>2</v>
      </c>
      <c r="B12" s="3">
        <v>2.5299999999999998</v>
      </c>
      <c r="C12" s="3"/>
      <c r="D12" s="2">
        <v>4.5609999999999999</v>
      </c>
      <c r="E12" s="3">
        <v>1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15">
      <c r="A13" s="3">
        <v>3</v>
      </c>
      <c r="B13" s="3">
        <v>3.53</v>
      </c>
      <c r="C13" s="3"/>
      <c r="D13" s="2">
        <v>4.9669999999999996</v>
      </c>
      <c r="E13" s="3">
        <v>1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15">
      <c r="A14" s="2">
        <v>4</v>
      </c>
      <c r="B14" s="3">
        <v>4.53</v>
      </c>
      <c r="C14" s="2"/>
      <c r="D14" s="2">
        <v>4.968</v>
      </c>
      <c r="E14" s="2">
        <v>1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15">
      <c r="A15" s="2">
        <v>5</v>
      </c>
      <c r="B15" s="3">
        <v>5.53</v>
      </c>
      <c r="C15" s="2"/>
      <c r="D15" s="2">
        <v>4.9690000000000003</v>
      </c>
      <c r="E15" s="2">
        <v>1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15">
      <c r="A16" s="2"/>
      <c r="B16" s="3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15">
      <c r="A17" s="2"/>
      <c r="B17" s="3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15">
      <c r="A18" s="2"/>
      <c r="B18" s="3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15">
      <c r="A19" s="2"/>
      <c r="B19" s="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15">
      <c r="A20" s="2"/>
      <c r="B20" s="3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1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1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1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1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1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1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1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1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1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>
      <selection activeCell="H6" sqref="H6"/>
    </sheetView>
  </sheetViews>
  <sheetFormatPr baseColWidth="10" defaultColWidth="12.6640625" defaultRowHeight="15.75" customHeight="1" x14ac:dyDescent="0.15"/>
  <sheetData>
    <row r="1" spans="1:26" ht="15.75" customHeight="1" x14ac:dyDescent="0.1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2"/>
      <c r="G1" s="2" t="s">
        <v>5</v>
      </c>
      <c r="H1" s="2">
        <v>-20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15">
      <c r="A2" s="3">
        <v>-40</v>
      </c>
      <c r="B2" s="3">
        <v>-38.85</v>
      </c>
      <c r="C2" s="3">
        <v>20.100000000000001</v>
      </c>
      <c r="D2" s="2">
        <f>C2/1000</f>
        <v>2.01E-2</v>
      </c>
      <c r="E2" s="3">
        <v>5</v>
      </c>
      <c r="F2" s="2"/>
      <c r="G2" s="2" t="s">
        <v>6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15">
      <c r="A3" s="3">
        <v>-35</v>
      </c>
      <c r="B3" s="3">
        <v>-33.85</v>
      </c>
      <c r="C3" s="3">
        <v>53.4</v>
      </c>
      <c r="D3" s="2">
        <f t="shared" ref="D3:D4" si="0">C3/1000</f>
        <v>5.3399999999999996E-2</v>
      </c>
      <c r="E3" s="3">
        <v>5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15">
      <c r="A4" s="3">
        <v>-30</v>
      </c>
      <c r="B4" s="3">
        <v>-28.85</v>
      </c>
      <c r="C4" s="3">
        <v>119.5</v>
      </c>
      <c r="D4" s="2">
        <f t="shared" si="0"/>
        <v>0.1195</v>
      </c>
      <c r="E4" s="3">
        <v>5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15">
      <c r="A5" s="3">
        <v>-25</v>
      </c>
      <c r="B5" s="3">
        <v>-23.85</v>
      </c>
      <c r="C5" s="3"/>
      <c r="D5" s="2">
        <v>0.21740000000000001</v>
      </c>
      <c r="E5" s="3">
        <v>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15">
      <c r="A6" s="3">
        <v>-20</v>
      </c>
      <c r="B6" s="3">
        <v>-18.850000000000001</v>
      </c>
      <c r="C6" s="3"/>
      <c r="D6" s="2">
        <v>0.38109999999999999</v>
      </c>
      <c r="E6" s="3">
        <v>5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15">
      <c r="A7" s="3">
        <v>-15</v>
      </c>
      <c r="B7" s="3">
        <v>-13.85</v>
      </c>
      <c r="C7" s="3"/>
      <c r="D7" s="2">
        <v>0.67549999999999999</v>
      </c>
      <c r="E7" s="3">
        <v>5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15">
      <c r="A8" s="3">
        <v>-10</v>
      </c>
      <c r="B8" s="3">
        <v>-8.85</v>
      </c>
      <c r="C8" s="3"/>
      <c r="D8" s="2">
        <v>1.1947000000000001</v>
      </c>
      <c r="E8" s="3">
        <v>5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15">
      <c r="A9" s="3">
        <v>-5</v>
      </c>
      <c r="B9" s="3">
        <v>-3.85</v>
      </c>
      <c r="C9" s="3"/>
      <c r="D9" s="2">
        <v>2.0390000000000001</v>
      </c>
      <c r="E9" s="3">
        <v>5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15">
      <c r="A10" s="3">
        <v>0</v>
      </c>
      <c r="B10" s="3">
        <v>1.1499999999999999</v>
      </c>
      <c r="C10" s="3"/>
      <c r="D10" s="2">
        <v>3.5550000000000002</v>
      </c>
      <c r="E10" s="3">
        <v>5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15">
      <c r="A11" s="3">
        <v>1</v>
      </c>
      <c r="B11" s="3">
        <v>2.15</v>
      </c>
      <c r="C11" s="3"/>
      <c r="D11" s="2">
        <v>3.984</v>
      </c>
      <c r="E11" s="3">
        <v>5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15">
      <c r="A12" s="3">
        <v>2</v>
      </c>
      <c r="B12" s="3">
        <v>3.15</v>
      </c>
      <c r="C12" s="3"/>
      <c r="D12" s="2">
        <v>4.476</v>
      </c>
      <c r="E12" s="3">
        <v>5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15">
      <c r="A13" s="3">
        <v>3</v>
      </c>
      <c r="B13" s="3">
        <v>4.1500000000000004</v>
      </c>
      <c r="C13" s="3"/>
      <c r="D13" s="2">
        <v>4.9669999999999996</v>
      </c>
      <c r="E13" s="3">
        <v>5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15">
      <c r="A14" s="2">
        <v>4</v>
      </c>
      <c r="B14" s="3">
        <v>5.15</v>
      </c>
      <c r="C14" s="2"/>
      <c r="D14" s="2">
        <v>4.968</v>
      </c>
      <c r="E14" s="3">
        <v>5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15">
      <c r="A15" s="2">
        <v>5</v>
      </c>
      <c r="B15" s="3">
        <v>6.15</v>
      </c>
      <c r="C15" s="2"/>
      <c r="D15" s="2">
        <v>4.968</v>
      </c>
      <c r="E15" s="3">
        <v>5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15">
      <c r="A16" s="2"/>
      <c r="B16" s="3"/>
      <c r="C16" s="2"/>
      <c r="D16" s="2"/>
      <c r="E16" s="3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15">
      <c r="A17" s="2"/>
      <c r="B17" s="3"/>
      <c r="C17" s="2"/>
      <c r="D17" s="2"/>
      <c r="E17" s="3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15">
      <c r="A18" s="2"/>
      <c r="B18" s="3"/>
      <c r="C18" s="2"/>
      <c r="D18" s="2"/>
      <c r="E18" s="3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15">
      <c r="A19" s="2"/>
      <c r="B19" s="3"/>
      <c r="C19" s="2"/>
      <c r="D19" s="2"/>
      <c r="E19" s="3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15">
      <c r="A20" s="2"/>
      <c r="B20" s="3"/>
      <c r="C20" s="2"/>
      <c r="D20" s="2"/>
      <c r="E20" s="3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1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1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1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1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1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1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1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1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1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selection activeCell="G5" sqref="G5"/>
    </sheetView>
  </sheetViews>
  <sheetFormatPr baseColWidth="10" defaultColWidth="12.6640625" defaultRowHeight="15.75" customHeight="1" x14ac:dyDescent="0.15"/>
  <sheetData>
    <row r="1" spans="1:26" ht="15.75" customHeight="1" x14ac:dyDescent="0.1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2"/>
      <c r="G1" s="2" t="s">
        <v>5</v>
      </c>
      <c r="H1" s="2">
        <v>-20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15">
      <c r="A2" s="3">
        <v>-40</v>
      </c>
      <c r="B2" s="3">
        <v>-38.4</v>
      </c>
      <c r="C2" s="3">
        <v>20.2</v>
      </c>
      <c r="D2" s="2">
        <f>C2/1000</f>
        <v>2.0199999999999999E-2</v>
      </c>
      <c r="E2" s="3">
        <v>10</v>
      </c>
      <c r="F2" s="2"/>
      <c r="G2" s="2" t="s">
        <v>6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15">
      <c r="A3" s="3">
        <v>-35</v>
      </c>
      <c r="B3" s="3">
        <v>-33.4</v>
      </c>
      <c r="C3" s="3">
        <v>50</v>
      </c>
      <c r="D3" s="2">
        <f t="shared" ref="D3:D4" si="0">C3/1000</f>
        <v>0.05</v>
      </c>
      <c r="E3" s="3">
        <v>10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15">
      <c r="A4" s="3">
        <v>-30</v>
      </c>
      <c r="B4" s="3">
        <v>-28.4</v>
      </c>
      <c r="C4" s="3">
        <v>114.7</v>
      </c>
      <c r="D4" s="2">
        <f t="shared" si="0"/>
        <v>0.1147</v>
      </c>
      <c r="E4" s="3">
        <v>10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15">
      <c r="A5" s="3">
        <v>-25</v>
      </c>
      <c r="B5" s="3">
        <v>-23.4</v>
      </c>
      <c r="C5" s="3"/>
      <c r="D5" s="2">
        <v>0.2082</v>
      </c>
      <c r="E5" s="3">
        <v>10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15">
      <c r="A6" s="3">
        <v>-20</v>
      </c>
      <c r="B6" s="3">
        <v>-18.399999999999999</v>
      </c>
      <c r="C6" s="3"/>
      <c r="D6" s="2">
        <v>0.36409999999999998</v>
      </c>
      <c r="E6" s="3">
        <v>10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15">
      <c r="A7" s="3">
        <v>-15</v>
      </c>
      <c r="B7" s="3">
        <v>-13.4</v>
      </c>
      <c r="C7" s="3"/>
      <c r="D7" s="2">
        <v>0.6391</v>
      </c>
      <c r="E7" s="3">
        <v>10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15">
      <c r="A8" s="3">
        <v>-10</v>
      </c>
      <c r="B8" s="3">
        <v>-8.4</v>
      </c>
      <c r="C8" s="3"/>
      <c r="D8" s="2">
        <v>1.1288</v>
      </c>
      <c r="E8" s="3">
        <v>10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15">
      <c r="A9" s="3">
        <v>-5</v>
      </c>
      <c r="B9" s="3">
        <v>-3.4</v>
      </c>
      <c r="C9" s="3"/>
      <c r="D9" s="2">
        <v>1.9239999999999999</v>
      </c>
      <c r="E9" s="3">
        <v>10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15">
      <c r="A10" s="3">
        <v>0</v>
      </c>
      <c r="B10" s="3">
        <v>1.6</v>
      </c>
      <c r="C10" s="3"/>
      <c r="D10" s="2">
        <v>3.3439999999999999</v>
      </c>
      <c r="E10" s="3">
        <v>10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15">
      <c r="A11" s="3">
        <v>1</v>
      </c>
      <c r="B11" s="3">
        <v>2.6</v>
      </c>
      <c r="C11" s="3"/>
      <c r="D11" s="2">
        <v>3.6909999999999998</v>
      </c>
      <c r="E11" s="3">
        <v>10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15">
      <c r="A12" s="3">
        <v>2</v>
      </c>
      <c r="B12" s="3">
        <v>3.6</v>
      </c>
      <c r="C12" s="3"/>
      <c r="D12" s="2">
        <v>4.149</v>
      </c>
      <c r="E12" s="3">
        <v>10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15">
      <c r="A13" s="3">
        <v>3</v>
      </c>
      <c r="B13" s="3">
        <v>4.5999999999999996</v>
      </c>
      <c r="C13" s="3"/>
      <c r="D13" s="2">
        <v>4.6680000000000001</v>
      </c>
      <c r="E13" s="3">
        <v>10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15">
      <c r="A14" s="2">
        <v>4</v>
      </c>
      <c r="B14" s="3">
        <v>5.6</v>
      </c>
      <c r="C14" s="2"/>
      <c r="D14" s="2">
        <v>4.9669999999999996</v>
      </c>
      <c r="E14" s="3">
        <v>10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15">
      <c r="A15" s="2">
        <v>5</v>
      </c>
      <c r="B15" s="3">
        <v>6.6</v>
      </c>
      <c r="C15" s="2"/>
      <c r="D15" s="2">
        <v>4.968</v>
      </c>
      <c r="E15" s="3">
        <v>10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15">
      <c r="A16" s="2">
        <v>6</v>
      </c>
      <c r="B16" s="3">
        <v>7.6</v>
      </c>
      <c r="C16" s="2"/>
      <c r="D16" s="2">
        <v>4.9690000000000003</v>
      </c>
      <c r="E16" s="3">
        <v>10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15">
      <c r="A17" s="2"/>
      <c r="B17" s="3"/>
      <c r="C17" s="2"/>
      <c r="D17" s="2"/>
      <c r="E17" s="3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15">
      <c r="A18" s="2"/>
      <c r="B18" s="3"/>
      <c r="C18" s="2"/>
      <c r="D18" s="2"/>
      <c r="E18" s="3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15">
      <c r="A19" s="2"/>
      <c r="B19" s="3"/>
      <c r="C19" s="2"/>
      <c r="D19" s="2"/>
      <c r="E19" s="3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15">
      <c r="A20" s="2"/>
      <c r="B20" s="3"/>
      <c r="C20" s="2"/>
      <c r="D20" s="2"/>
      <c r="E20" s="3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1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1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1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1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1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1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1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1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1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>
      <selection activeCell="G6" sqref="G6"/>
    </sheetView>
  </sheetViews>
  <sheetFormatPr baseColWidth="10" defaultColWidth="12.6640625" defaultRowHeight="15.75" customHeight="1" x14ac:dyDescent="0.15"/>
  <sheetData>
    <row r="1" spans="1:26" ht="15.75" customHeight="1" x14ac:dyDescent="0.1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2"/>
      <c r="G1" s="2" t="s">
        <v>5</v>
      </c>
      <c r="H1" s="2">
        <v>-20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15">
      <c r="A2" s="3">
        <v>-40</v>
      </c>
      <c r="B2" s="3">
        <v>-37.92</v>
      </c>
      <c r="C2" s="3">
        <v>20.2</v>
      </c>
      <c r="D2" s="2">
        <f>C2/1000</f>
        <v>2.0199999999999999E-2</v>
      </c>
      <c r="E2" s="3">
        <v>15</v>
      </c>
      <c r="F2" s="2"/>
      <c r="G2" s="2" t="s">
        <v>6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15">
      <c r="A3" s="3">
        <v>-35</v>
      </c>
      <c r="B3" s="3">
        <v>-32.92</v>
      </c>
      <c r="C3" s="3">
        <v>46.4</v>
      </c>
      <c r="D3" s="2">
        <f t="shared" ref="D3:D4" si="0">C3/1000</f>
        <v>4.6399999999999997E-2</v>
      </c>
      <c r="E3" s="3">
        <v>15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15">
      <c r="A4" s="3">
        <v>-30</v>
      </c>
      <c r="B4" s="3">
        <v>-27.92</v>
      </c>
      <c r="C4" s="3">
        <v>109.7</v>
      </c>
      <c r="D4" s="2">
        <f t="shared" si="0"/>
        <v>0.10970000000000001</v>
      </c>
      <c r="E4" s="3">
        <v>15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15">
      <c r="A5" s="3">
        <v>-25</v>
      </c>
      <c r="B5" s="3">
        <v>-22.92</v>
      </c>
      <c r="C5" s="3"/>
      <c r="D5" s="2">
        <v>0.2011</v>
      </c>
      <c r="E5" s="3">
        <v>15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15">
      <c r="A6" s="3">
        <v>-20</v>
      </c>
      <c r="B6" s="3">
        <v>-17.920000000000002</v>
      </c>
      <c r="C6" s="3"/>
      <c r="D6" s="2">
        <v>0.35320000000000001</v>
      </c>
      <c r="E6" s="3">
        <v>15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15">
      <c r="A7" s="3">
        <v>-15</v>
      </c>
      <c r="B7" s="3">
        <v>-12.92</v>
      </c>
      <c r="C7" s="3"/>
      <c r="D7" s="2">
        <v>0.62419999999999998</v>
      </c>
      <c r="E7" s="3">
        <v>15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15">
      <c r="A8" s="3">
        <v>-10</v>
      </c>
      <c r="B8" s="3">
        <v>-7.92</v>
      </c>
      <c r="C8" s="3"/>
      <c r="D8" s="2">
        <v>1.1097999999999999</v>
      </c>
      <c r="E8" s="3">
        <v>15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15">
      <c r="A9" s="3">
        <v>-5</v>
      </c>
      <c r="B9" s="3">
        <v>-2.92</v>
      </c>
      <c r="C9" s="3"/>
      <c r="D9" s="2">
        <v>1.895</v>
      </c>
      <c r="E9" s="3">
        <v>15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15">
      <c r="A10" s="3">
        <v>0</v>
      </c>
      <c r="B10" s="3">
        <v>2.08</v>
      </c>
      <c r="C10" s="3"/>
      <c r="D10" s="2">
        <v>3.2250000000000001</v>
      </c>
      <c r="E10" s="3">
        <v>15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15">
      <c r="A11" s="3">
        <v>1</v>
      </c>
      <c r="B11" s="3">
        <v>3.08</v>
      </c>
      <c r="C11" s="3"/>
      <c r="D11" s="2">
        <v>3.613</v>
      </c>
      <c r="E11" s="3">
        <v>15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15">
      <c r="A12" s="3">
        <v>2</v>
      </c>
      <c r="B12" s="3">
        <v>4.08</v>
      </c>
      <c r="C12" s="3"/>
      <c r="D12" s="2">
        <v>4.0449999999999999</v>
      </c>
      <c r="E12" s="3">
        <v>15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15">
      <c r="A13" s="3">
        <v>3</v>
      </c>
      <c r="B13" s="3">
        <v>5.08</v>
      </c>
      <c r="C13" s="3"/>
      <c r="D13" s="2">
        <v>4.5220000000000002</v>
      </c>
      <c r="E13" s="3">
        <v>15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15">
      <c r="A14" s="2">
        <v>4</v>
      </c>
      <c r="B14" s="3">
        <v>6.08</v>
      </c>
      <c r="C14" s="2"/>
      <c r="D14" s="2">
        <v>4.9669999999999996</v>
      </c>
      <c r="E14" s="3">
        <v>15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15">
      <c r="A15" s="2">
        <v>5</v>
      </c>
      <c r="B15" s="3">
        <v>7.08</v>
      </c>
      <c r="C15" s="2"/>
      <c r="D15" s="2">
        <v>4.9660000000000002</v>
      </c>
      <c r="E15" s="3">
        <v>15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15">
      <c r="A16" s="2">
        <v>6</v>
      </c>
      <c r="B16" s="3">
        <v>8.08</v>
      </c>
      <c r="C16" s="2"/>
      <c r="D16" s="2">
        <v>4.968</v>
      </c>
      <c r="E16" s="3">
        <v>15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15">
      <c r="A17" s="2"/>
      <c r="B17" s="3"/>
      <c r="C17" s="2"/>
      <c r="D17" s="2"/>
      <c r="E17" s="3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15">
      <c r="A18" s="2"/>
      <c r="B18" s="3"/>
      <c r="C18" s="2"/>
      <c r="D18" s="2"/>
      <c r="E18" s="3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15">
      <c r="A19" s="2"/>
      <c r="B19" s="3"/>
      <c r="C19" s="2"/>
      <c r="D19" s="2"/>
      <c r="E19" s="3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15">
      <c r="A20" s="2"/>
      <c r="B20" s="3"/>
      <c r="C20" s="2"/>
      <c r="D20" s="2"/>
      <c r="E20" s="3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1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1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1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1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1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1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1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1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1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>
      <selection activeCell="E22" sqref="E22"/>
    </sheetView>
  </sheetViews>
  <sheetFormatPr baseColWidth="10" defaultColWidth="12.6640625" defaultRowHeight="15.75" customHeight="1" x14ac:dyDescent="0.15"/>
  <sheetData>
    <row r="1" spans="1:26" ht="15.75" customHeight="1" x14ac:dyDescent="0.1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2"/>
      <c r="G1" s="2" t="s">
        <v>5</v>
      </c>
      <c r="H1" s="2">
        <v>-20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15">
      <c r="A2" s="3">
        <v>-40</v>
      </c>
      <c r="B2" s="3">
        <v>-37.56</v>
      </c>
      <c r="C2" s="3">
        <v>20.170000000000002</v>
      </c>
      <c r="D2" s="2">
        <f>C2/1000</f>
        <v>2.017E-2</v>
      </c>
      <c r="E2" s="3">
        <v>18</v>
      </c>
      <c r="F2" s="2"/>
      <c r="G2" s="2" t="s">
        <v>6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15">
      <c r="A3" s="3">
        <v>-35</v>
      </c>
      <c r="B3" s="3">
        <v>-32.56</v>
      </c>
      <c r="C3" s="3">
        <v>37</v>
      </c>
      <c r="D3" s="2">
        <f t="shared" ref="D3:D4" si="0">C3/1000</f>
        <v>3.6999999999999998E-2</v>
      </c>
      <c r="E3" s="3">
        <v>18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15">
      <c r="A4" s="3">
        <v>-30</v>
      </c>
      <c r="B4" s="3">
        <v>-27.56</v>
      </c>
      <c r="C4" s="3">
        <v>96.7</v>
      </c>
      <c r="D4" s="2">
        <f t="shared" si="0"/>
        <v>9.6700000000000008E-2</v>
      </c>
      <c r="E4" s="3">
        <v>18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15">
      <c r="A5" s="3">
        <v>-25</v>
      </c>
      <c r="B5" s="3">
        <v>-22.56</v>
      </c>
      <c r="C5" s="3"/>
      <c r="D5" s="2">
        <v>0.18</v>
      </c>
      <c r="E5" s="3">
        <v>18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15">
      <c r="A6" s="3">
        <v>-20</v>
      </c>
      <c r="B6" s="3">
        <v>-17.559999999999999</v>
      </c>
      <c r="C6" s="3"/>
      <c r="D6" s="2">
        <v>0.31619999999999998</v>
      </c>
      <c r="E6" s="3">
        <v>18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15">
      <c r="A7" s="3">
        <v>-15</v>
      </c>
      <c r="B7" s="3">
        <v>-12.56</v>
      </c>
      <c r="C7" s="3"/>
      <c r="D7" s="2">
        <v>0.55740000000000001</v>
      </c>
      <c r="E7" s="3">
        <v>18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15">
      <c r="A8" s="3">
        <v>-10</v>
      </c>
      <c r="B8" s="3">
        <v>-7.56</v>
      </c>
      <c r="C8" s="3"/>
      <c r="D8" s="2">
        <v>0.99390000000000001</v>
      </c>
      <c r="E8" s="3">
        <v>18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15">
      <c r="A9" s="3">
        <v>-5</v>
      </c>
      <c r="B9" s="3">
        <v>-2.56</v>
      </c>
      <c r="C9" s="3"/>
      <c r="D9" s="2">
        <v>1.7150000000000001</v>
      </c>
      <c r="E9" s="3">
        <v>18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15">
      <c r="A10" s="3">
        <v>0</v>
      </c>
      <c r="B10" s="3">
        <v>2.44</v>
      </c>
      <c r="D10" s="2">
        <v>2.9340000000000002</v>
      </c>
      <c r="E10" s="3">
        <v>18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15">
      <c r="A11" s="3">
        <v>1</v>
      </c>
      <c r="B11" s="3">
        <v>3.44</v>
      </c>
      <c r="C11" s="3"/>
      <c r="D11" s="2">
        <v>3.2810000000000001</v>
      </c>
      <c r="E11" s="3">
        <v>18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15">
      <c r="A12" s="3">
        <v>2</v>
      </c>
      <c r="B12" s="3">
        <v>4.4400000000000004</v>
      </c>
      <c r="C12" s="3"/>
      <c r="D12" s="2">
        <v>3.677</v>
      </c>
      <c r="E12" s="3">
        <v>18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15">
      <c r="A13" s="3">
        <v>3</v>
      </c>
      <c r="B13" s="3">
        <v>5.44</v>
      </c>
      <c r="C13" s="3"/>
      <c r="D13" s="2">
        <v>4.12</v>
      </c>
      <c r="E13" s="3">
        <v>18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15">
      <c r="A14" s="2">
        <v>4</v>
      </c>
      <c r="B14" s="3">
        <v>6.44</v>
      </c>
      <c r="C14" s="2"/>
      <c r="D14" s="2">
        <v>4.6239999999999997</v>
      </c>
      <c r="E14" s="3">
        <v>18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15">
      <c r="A15" s="2">
        <v>5</v>
      </c>
      <c r="B15" s="3">
        <v>7.44</v>
      </c>
      <c r="C15" s="2"/>
      <c r="D15" s="2">
        <v>4.9669999999999996</v>
      </c>
      <c r="E15" s="3">
        <v>18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15">
      <c r="A16" s="2">
        <v>6</v>
      </c>
      <c r="B16" s="3">
        <v>8.44</v>
      </c>
      <c r="C16" s="2"/>
      <c r="D16" s="2">
        <v>4.9669999999999996</v>
      </c>
      <c r="E16" s="3">
        <v>18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15">
      <c r="A17" s="2">
        <v>7</v>
      </c>
      <c r="B17" s="3">
        <v>9.44</v>
      </c>
      <c r="C17" s="2"/>
      <c r="D17" s="2">
        <v>4.9690000000000003</v>
      </c>
      <c r="E17" s="3">
        <v>18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15">
      <c r="A18" s="2"/>
      <c r="B18" s="3"/>
      <c r="C18" s="2"/>
      <c r="D18" s="2"/>
      <c r="E18" s="3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15">
      <c r="A19" s="2"/>
      <c r="B19" s="3"/>
      <c r="C19" s="2"/>
      <c r="D19" s="2"/>
      <c r="E19" s="3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15">
      <c r="A20" s="2"/>
      <c r="B20" s="3"/>
      <c r="C20" s="2"/>
      <c r="D20" s="2"/>
      <c r="E20" s="3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1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1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1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1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1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1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1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1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1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Jay Frothingham</cp:lastModifiedBy>
  <dcterms:created xsi:type="dcterms:W3CDTF">2026-03-06T19:50:26Z</dcterms:created>
  <dcterms:modified xsi:type="dcterms:W3CDTF">2026-03-20T22:54:16Z</dcterms:modified>
</cp:coreProperties>
</file>