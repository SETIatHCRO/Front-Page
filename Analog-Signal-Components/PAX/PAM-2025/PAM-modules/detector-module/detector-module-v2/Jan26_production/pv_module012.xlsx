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jfrothingham/Desktop/"/>
    </mc:Choice>
  </mc:AlternateContent>
  <xr:revisionPtr revIDLastSave="0" documentId="13_ncr:1_{49D1E302-D7D0-494A-8C40-71177FFA6905}" xr6:coauthVersionLast="47" xr6:coauthVersionMax="47" xr10:uidLastSave="{00000000-0000-0000-0000-000000000000}"/>
  <bookViews>
    <workbookView xWindow="19600" yWindow="680" windowWidth="14320" windowHeight="21460" activeTab="4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" i="5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" i="1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<sst xmlns="http://schemas.openxmlformats.org/spreadsheetml/2006/main" count="25" uniqueCount="5">
  <si>
    <t>Input</t>
  </si>
  <si>
    <t>Voltage (mv)</t>
  </si>
  <si>
    <t>Voltage (V)</t>
  </si>
  <si>
    <t>Freq (GHz)</t>
  </si>
  <si>
    <t>Output level (dBm)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</si>
</sst>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D37" sqref="D37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f t="shared" ref="B2:B20" si="0">A2+0.49</f>
        <v>-39.51</v>
      </c>
      <c r="C2" s="3">
        <v>67</v>
      </c>
      <c r="D2" s="2">
        <f>C2/1000</f>
        <v>6.7000000000000004E-2</v>
      </c>
      <c r="E2" s="3">
        <v>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f t="shared" si="0"/>
        <v>-34.51</v>
      </c>
      <c r="C3" s="3">
        <v>67</v>
      </c>
      <c r="D3" s="2">
        <f t="shared" ref="D3:D20" si="1">C3/1000</f>
        <v>6.7000000000000004E-2</v>
      </c>
      <c r="E3" s="3">
        <v>1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f t="shared" si="0"/>
        <v>-29.51</v>
      </c>
      <c r="C4" s="3">
        <v>67</v>
      </c>
      <c r="D4" s="2">
        <f t="shared" si="1"/>
        <v>6.7000000000000004E-2</v>
      </c>
      <c r="E4" s="3">
        <v>1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f t="shared" si="0"/>
        <v>-24.51</v>
      </c>
      <c r="C5" s="3">
        <v>67</v>
      </c>
      <c r="D5" s="2">
        <f t="shared" si="1"/>
        <v>6.7000000000000004E-2</v>
      </c>
      <c r="E5" s="3">
        <v>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f t="shared" si="0"/>
        <v>-19.510000000000002</v>
      </c>
      <c r="C6" s="3">
        <v>67</v>
      </c>
      <c r="D6" s="2">
        <f t="shared" si="1"/>
        <v>6.7000000000000004E-2</v>
      </c>
      <c r="E6" s="3">
        <v>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f t="shared" si="0"/>
        <v>-14.51</v>
      </c>
      <c r="C7" s="3">
        <v>67</v>
      </c>
      <c r="D7" s="2">
        <f t="shared" si="1"/>
        <v>6.7000000000000004E-2</v>
      </c>
      <c r="E7" s="3">
        <v>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f t="shared" si="0"/>
        <v>-9.51</v>
      </c>
      <c r="C8" s="3">
        <v>69</v>
      </c>
      <c r="D8" s="2">
        <f t="shared" si="1"/>
        <v>6.9000000000000006E-2</v>
      </c>
      <c r="E8" s="3"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f t="shared" si="0"/>
        <v>-4.51</v>
      </c>
      <c r="C9" s="3">
        <v>71</v>
      </c>
      <c r="D9" s="2">
        <f t="shared" si="1"/>
        <v>7.0999999999999994E-2</v>
      </c>
      <c r="E9" s="3">
        <v>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f t="shared" si="0"/>
        <v>0.49</v>
      </c>
      <c r="C10" s="3">
        <v>83</v>
      </c>
      <c r="D10" s="2">
        <f t="shared" si="1"/>
        <v>8.3000000000000004E-2</v>
      </c>
      <c r="E10" s="3">
        <v>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f t="shared" si="0"/>
        <v>1.49</v>
      </c>
      <c r="C11" s="3">
        <v>87</v>
      </c>
      <c r="D11" s="2">
        <f t="shared" si="1"/>
        <v>8.6999999999999994E-2</v>
      </c>
      <c r="E11" s="3">
        <v>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f t="shared" si="0"/>
        <v>2.4900000000000002</v>
      </c>
      <c r="C12" s="3">
        <v>92</v>
      </c>
      <c r="D12" s="2">
        <f t="shared" si="1"/>
        <v>9.1999999999999998E-2</v>
      </c>
      <c r="E12" s="3"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f t="shared" si="0"/>
        <v>3.49</v>
      </c>
      <c r="C13" s="3">
        <v>97</v>
      </c>
      <c r="D13" s="2">
        <f t="shared" si="1"/>
        <v>9.7000000000000003E-2</v>
      </c>
      <c r="E13" s="3">
        <v>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f t="shared" si="0"/>
        <v>4.49</v>
      </c>
      <c r="C14" s="2">
        <v>103</v>
      </c>
      <c r="D14" s="2">
        <f t="shared" si="1"/>
        <v>0.10299999999999999</v>
      </c>
      <c r="E14" s="2">
        <v>1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f t="shared" si="0"/>
        <v>5.49</v>
      </c>
      <c r="C15" s="2">
        <v>111</v>
      </c>
      <c r="D15" s="2">
        <f t="shared" si="1"/>
        <v>0.111</v>
      </c>
      <c r="E15" s="2">
        <v>1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f t="shared" si="0"/>
        <v>6.49</v>
      </c>
      <c r="C16" s="2">
        <v>122</v>
      </c>
      <c r="D16" s="2">
        <f t="shared" si="1"/>
        <v>0.122</v>
      </c>
      <c r="E16" s="2">
        <v>1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f t="shared" si="0"/>
        <v>7.49</v>
      </c>
      <c r="C17" s="2">
        <v>133</v>
      </c>
      <c r="D17" s="2">
        <f t="shared" si="1"/>
        <v>0.13300000000000001</v>
      </c>
      <c r="E17" s="2">
        <v>1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>
        <v>8</v>
      </c>
      <c r="B18" s="3">
        <f t="shared" si="0"/>
        <v>8.49</v>
      </c>
      <c r="C18" s="2">
        <v>145</v>
      </c>
      <c r="D18" s="2">
        <f t="shared" si="1"/>
        <v>0.14499999999999999</v>
      </c>
      <c r="E18" s="2">
        <v>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>
        <v>9</v>
      </c>
      <c r="B19" s="3">
        <f t="shared" si="0"/>
        <v>9.49</v>
      </c>
      <c r="C19" s="2">
        <v>159</v>
      </c>
      <c r="D19" s="2">
        <f t="shared" si="1"/>
        <v>0.159</v>
      </c>
      <c r="E19" s="2">
        <v>1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>
        <v>10</v>
      </c>
      <c r="B20" s="3">
        <f t="shared" si="0"/>
        <v>10.49</v>
      </c>
      <c r="C20" s="2">
        <v>175</v>
      </c>
      <c r="D20" s="2">
        <f t="shared" si="1"/>
        <v>0.17499999999999999</v>
      </c>
      <c r="E20" s="2">
        <v>1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selection activeCell="D26" sqref="D26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f t="shared" ref="B2:B20" si="0">A2+1.15</f>
        <v>-38.85</v>
      </c>
      <c r="C2" s="3">
        <v>65</v>
      </c>
      <c r="D2" s="2">
        <f>C2/1000</f>
        <v>6.5000000000000002E-2</v>
      </c>
      <c r="E2" s="3">
        <v>5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f t="shared" si="0"/>
        <v>-33.85</v>
      </c>
      <c r="C3" s="3">
        <v>67</v>
      </c>
      <c r="D3" s="2">
        <f t="shared" ref="D3:D20" si="1">C3/1000</f>
        <v>6.7000000000000004E-2</v>
      </c>
      <c r="E3" s="3">
        <v>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f t="shared" si="0"/>
        <v>-28.85</v>
      </c>
      <c r="C4" s="3">
        <v>66</v>
      </c>
      <c r="D4" s="2">
        <f t="shared" si="1"/>
        <v>6.6000000000000003E-2</v>
      </c>
      <c r="E4" s="3">
        <v>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f t="shared" si="0"/>
        <v>-23.85</v>
      </c>
      <c r="C5" s="3">
        <v>67</v>
      </c>
      <c r="D5" s="2">
        <f t="shared" si="1"/>
        <v>6.7000000000000004E-2</v>
      </c>
      <c r="E5" s="3">
        <v>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f t="shared" si="0"/>
        <v>-18.850000000000001</v>
      </c>
      <c r="C6" s="3">
        <v>69</v>
      </c>
      <c r="D6" s="2">
        <f t="shared" si="1"/>
        <v>6.9000000000000006E-2</v>
      </c>
      <c r="E6" s="3">
        <v>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f t="shared" si="0"/>
        <v>-13.85</v>
      </c>
      <c r="C7" s="3">
        <v>76</v>
      </c>
      <c r="D7" s="2">
        <f t="shared" si="1"/>
        <v>7.5999999999999998E-2</v>
      </c>
      <c r="E7" s="3">
        <v>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f t="shared" si="0"/>
        <v>-8.85</v>
      </c>
      <c r="C8" s="3">
        <v>95</v>
      </c>
      <c r="D8" s="2">
        <f t="shared" si="1"/>
        <v>9.5000000000000001E-2</v>
      </c>
      <c r="E8" s="3">
        <v>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f t="shared" si="0"/>
        <v>-3.85</v>
      </c>
      <c r="C9" s="3">
        <v>136</v>
      </c>
      <c r="D9" s="2">
        <f t="shared" si="1"/>
        <v>0.13600000000000001</v>
      </c>
      <c r="E9" s="3">
        <v>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f t="shared" si="0"/>
        <v>1.1499999999999999</v>
      </c>
      <c r="C10" s="3">
        <v>219</v>
      </c>
      <c r="D10" s="2">
        <f t="shared" si="1"/>
        <v>0.219</v>
      </c>
      <c r="E10" s="3">
        <v>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f t="shared" si="0"/>
        <v>2.15</v>
      </c>
      <c r="C11" s="3">
        <v>243</v>
      </c>
      <c r="D11" s="2">
        <f t="shared" si="1"/>
        <v>0.24299999999999999</v>
      </c>
      <c r="E11" s="3">
        <v>5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f t="shared" si="0"/>
        <v>3.15</v>
      </c>
      <c r="C12" s="3">
        <v>270</v>
      </c>
      <c r="D12" s="2">
        <f t="shared" si="1"/>
        <v>0.27</v>
      </c>
      <c r="E12" s="3">
        <v>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f t="shared" si="0"/>
        <v>4.1500000000000004</v>
      </c>
      <c r="C13" s="3">
        <v>299</v>
      </c>
      <c r="D13" s="2">
        <f t="shared" si="1"/>
        <v>0.29899999999999999</v>
      </c>
      <c r="E13" s="3">
        <v>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f t="shared" si="0"/>
        <v>5.15</v>
      </c>
      <c r="C14" s="2">
        <v>333</v>
      </c>
      <c r="D14" s="2">
        <f t="shared" si="1"/>
        <v>0.33300000000000002</v>
      </c>
      <c r="E14" s="3">
        <v>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f t="shared" si="0"/>
        <v>6.15</v>
      </c>
      <c r="C15" s="2">
        <v>371</v>
      </c>
      <c r="D15" s="2">
        <f t="shared" si="1"/>
        <v>0.371</v>
      </c>
      <c r="E15" s="3">
        <v>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f t="shared" si="0"/>
        <v>7.15</v>
      </c>
      <c r="C16" s="2">
        <v>415</v>
      </c>
      <c r="D16" s="2">
        <f t="shared" si="1"/>
        <v>0.41499999999999998</v>
      </c>
      <c r="E16" s="3">
        <v>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f t="shared" si="0"/>
        <v>8.15</v>
      </c>
      <c r="C17" s="2">
        <v>465</v>
      </c>
      <c r="D17" s="2">
        <f t="shared" si="1"/>
        <v>0.46500000000000002</v>
      </c>
      <c r="E17" s="3">
        <v>5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>
        <v>8</v>
      </c>
      <c r="B18" s="3">
        <f t="shared" si="0"/>
        <v>9.15</v>
      </c>
      <c r="C18" s="2">
        <v>522</v>
      </c>
      <c r="D18" s="2">
        <f t="shared" si="1"/>
        <v>0.52200000000000002</v>
      </c>
      <c r="E18" s="3">
        <v>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>
        <v>9</v>
      </c>
      <c r="B19" s="3">
        <f t="shared" si="0"/>
        <v>10.15</v>
      </c>
      <c r="C19" s="2">
        <v>585</v>
      </c>
      <c r="D19" s="2">
        <f t="shared" si="1"/>
        <v>0.58499999999999996</v>
      </c>
      <c r="E19" s="3">
        <v>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>
        <v>10</v>
      </c>
      <c r="B20" s="3">
        <f t="shared" si="0"/>
        <v>11.15</v>
      </c>
      <c r="C20" s="2">
        <v>658</v>
      </c>
      <c r="D20" s="2">
        <f t="shared" si="1"/>
        <v>0.65800000000000003</v>
      </c>
      <c r="E20" s="3">
        <v>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D26" sqref="D26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f t="shared" ref="B2:B20" si="0">A2+1.59</f>
        <v>-38.409999999999997</v>
      </c>
      <c r="C2" s="3">
        <v>65</v>
      </c>
      <c r="D2" s="2">
        <f>C2/1000</f>
        <v>6.5000000000000002E-2</v>
      </c>
      <c r="E2" s="3">
        <v>10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f t="shared" si="0"/>
        <v>-33.409999999999997</v>
      </c>
      <c r="C3" s="3">
        <v>65</v>
      </c>
      <c r="D3" s="2">
        <f t="shared" ref="D3:D20" si="1">C3/1000</f>
        <v>6.5000000000000002E-2</v>
      </c>
      <c r="E3" s="3">
        <v>10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f t="shared" si="0"/>
        <v>-28.41</v>
      </c>
      <c r="C4" s="3">
        <v>66</v>
      </c>
      <c r="D4" s="2">
        <f t="shared" si="1"/>
        <v>6.6000000000000003E-2</v>
      </c>
      <c r="E4" s="3">
        <v>10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f t="shared" si="0"/>
        <v>-23.41</v>
      </c>
      <c r="C5" s="3">
        <v>68</v>
      </c>
      <c r="D5" s="2">
        <f t="shared" si="1"/>
        <v>6.8000000000000005E-2</v>
      </c>
      <c r="E5" s="3">
        <v>10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f t="shared" si="0"/>
        <v>-18.41</v>
      </c>
      <c r="C6" s="3">
        <v>73</v>
      </c>
      <c r="D6" s="2">
        <f t="shared" si="1"/>
        <v>7.2999999999999995E-2</v>
      </c>
      <c r="E6" s="3">
        <v>10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f t="shared" si="0"/>
        <v>-13.41</v>
      </c>
      <c r="C7" s="3">
        <v>88</v>
      </c>
      <c r="D7" s="2">
        <f t="shared" si="1"/>
        <v>8.7999999999999995E-2</v>
      </c>
      <c r="E7" s="3">
        <v>10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f t="shared" si="0"/>
        <v>-8.41</v>
      </c>
      <c r="C8" s="3">
        <v>124</v>
      </c>
      <c r="D8" s="2">
        <f t="shared" si="1"/>
        <v>0.124</v>
      </c>
      <c r="E8" s="3">
        <v>10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f t="shared" si="0"/>
        <v>-3.41</v>
      </c>
      <c r="C9" s="3">
        <v>196</v>
      </c>
      <c r="D9" s="2">
        <f t="shared" si="1"/>
        <v>0.19600000000000001</v>
      </c>
      <c r="E9" s="3">
        <v>10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f t="shared" si="0"/>
        <v>1.59</v>
      </c>
      <c r="C10" s="3">
        <v>330</v>
      </c>
      <c r="D10" s="2">
        <f t="shared" si="1"/>
        <v>0.33</v>
      </c>
      <c r="E10" s="3">
        <v>10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f t="shared" si="0"/>
        <v>2.59</v>
      </c>
      <c r="C11" s="3">
        <v>370</v>
      </c>
      <c r="D11" s="2">
        <f t="shared" si="1"/>
        <v>0.37</v>
      </c>
      <c r="E11" s="3">
        <v>10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f t="shared" si="0"/>
        <v>3.59</v>
      </c>
      <c r="C12" s="3">
        <v>413</v>
      </c>
      <c r="D12" s="2">
        <f t="shared" si="1"/>
        <v>0.41299999999999998</v>
      </c>
      <c r="E12" s="3">
        <v>10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f t="shared" si="0"/>
        <v>4.59</v>
      </c>
      <c r="C13" s="3">
        <v>463</v>
      </c>
      <c r="D13" s="2">
        <f t="shared" si="1"/>
        <v>0.46300000000000002</v>
      </c>
      <c r="E13" s="3">
        <v>10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f t="shared" si="0"/>
        <v>5.59</v>
      </c>
      <c r="C14" s="2">
        <v>517</v>
      </c>
      <c r="D14" s="2">
        <f t="shared" si="1"/>
        <v>0.51700000000000002</v>
      </c>
      <c r="E14" s="3">
        <v>10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f t="shared" si="0"/>
        <v>6.59</v>
      </c>
      <c r="C15" s="2">
        <v>579</v>
      </c>
      <c r="D15" s="2">
        <f t="shared" si="1"/>
        <v>0.57899999999999996</v>
      </c>
      <c r="E15" s="3">
        <v>10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f t="shared" si="0"/>
        <v>7.59</v>
      </c>
      <c r="C16" s="2">
        <v>650</v>
      </c>
      <c r="D16" s="2">
        <f t="shared" si="1"/>
        <v>0.65</v>
      </c>
      <c r="E16" s="3">
        <v>10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f t="shared" si="0"/>
        <v>8.59</v>
      </c>
      <c r="C17" s="2">
        <v>729</v>
      </c>
      <c r="D17" s="2">
        <f t="shared" si="1"/>
        <v>0.72899999999999998</v>
      </c>
      <c r="E17" s="3">
        <v>10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>
        <v>8</v>
      </c>
      <c r="B18" s="3">
        <f t="shared" si="0"/>
        <v>9.59</v>
      </c>
      <c r="C18" s="2">
        <v>817</v>
      </c>
      <c r="D18" s="2">
        <f t="shared" si="1"/>
        <v>0.81699999999999995</v>
      </c>
      <c r="E18" s="3">
        <v>10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>
        <v>9</v>
      </c>
      <c r="B19" s="3">
        <f t="shared" si="0"/>
        <v>10.59</v>
      </c>
      <c r="C19" s="2">
        <v>916</v>
      </c>
      <c r="D19" s="2">
        <f t="shared" si="1"/>
        <v>0.91600000000000004</v>
      </c>
      <c r="E19" s="3">
        <v>10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>
        <v>10</v>
      </c>
      <c r="B20" s="3">
        <f t="shared" si="0"/>
        <v>11.59</v>
      </c>
      <c r="C20" s="2">
        <v>1026</v>
      </c>
      <c r="D20" s="2">
        <f t="shared" si="1"/>
        <v>1.026</v>
      </c>
      <c r="E20" s="3">
        <v>10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D27" sqref="D27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f t="shared" ref="B2:B20" si="0">A2+2.02</f>
        <v>-37.979999999999997</v>
      </c>
      <c r="C2" s="3">
        <v>65</v>
      </c>
      <c r="D2" s="2">
        <f>C2/1000</f>
        <v>6.5000000000000002E-2</v>
      </c>
      <c r="E2" s="3">
        <v>15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f t="shared" si="0"/>
        <v>-32.979999999999997</v>
      </c>
      <c r="C3" s="3">
        <v>65</v>
      </c>
      <c r="D3" s="2">
        <f t="shared" ref="D3:D20" si="1">C3/1000</f>
        <v>6.5000000000000002E-2</v>
      </c>
      <c r="E3" s="3">
        <v>15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f t="shared" si="0"/>
        <v>-27.98</v>
      </c>
      <c r="C4" s="3">
        <v>65</v>
      </c>
      <c r="D4" s="2">
        <f t="shared" si="1"/>
        <v>6.5000000000000002E-2</v>
      </c>
      <c r="E4" s="3">
        <v>15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f t="shared" si="0"/>
        <v>-22.98</v>
      </c>
      <c r="C5" s="3">
        <v>69</v>
      </c>
      <c r="D5" s="2">
        <f t="shared" si="1"/>
        <v>6.9000000000000006E-2</v>
      </c>
      <c r="E5" s="3">
        <v>15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f t="shared" si="0"/>
        <v>-17.98</v>
      </c>
      <c r="C6" s="3">
        <v>76</v>
      </c>
      <c r="D6" s="2">
        <f t="shared" si="1"/>
        <v>7.5999999999999998E-2</v>
      </c>
      <c r="E6" s="3">
        <v>15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f t="shared" si="0"/>
        <v>-12.98</v>
      </c>
      <c r="C7" s="3">
        <v>97</v>
      </c>
      <c r="D7" s="2">
        <f t="shared" si="1"/>
        <v>9.7000000000000003E-2</v>
      </c>
      <c r="E7" s="3">
        <v>15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f t="shared" si="0"/>
        <v>-7.98</v>
      </c>
      <c r="C8" s="3">
        <v>144</v>
      </c>
      <c r="D8" s="2">
        <f t="shared" si="1"/>
        <v>0.14399999999999999</v>
      </c>
      <c r="E8" s="3">
        <v>15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f t="shared" si="0"/>
        <v>-2.98</v>
      </c>
      <c r="C9" s="3">
        <v>234</v>
      </c>
      <c r="D9" s="2">
        <f t="shared" si="1"/>
        <v>0.23400000000000001</v>
      </c>
      <c r="E9" s="3">
        <v>15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f t="shared" si="0"/>
        <v>2.02</v>
      </c>
      <c r="C10" s="3">
        <v>405</v>
      </c>
      <c r="D10" s="2">
        <f t="shared" si="1"/>
        <v>0.40500000000000003</v>
      </c>
      <c r="E10" s="3">
        <v>15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f t="shared" si="0"/>
        <v>3.02</v>
      </c>
      <c r="C11" s="3">
        <v>452</v>
      </c>
      <c r="D11" s="2">
        <f t="shared" si="1"/>
        <v>0.45200000000000001</v>
      </c>
      <c r="E11" s="3">
        <v>15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f t="shared" si="0"/>
        <v>4.0199999999999996</v>
      </c>
      <c r="C12" s="3">
        <v>506</v>
      </c>
      <c r="D12" s="2">
        <f t="shared" si="1"/>
        <v>0.50600000000000001</v>
      </c>
      <c r="E12" s="3">
        <v>15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f t="shared" si="0"/>
        <v>5.0199999999999996</v>
      </c>
      <c r="C13" s="3">
        <v>566</v>
      </c>
      <c r="D13" s="2">
        <f t="shared" si="1"/>
        <v>0.56599999999999995</v>
      </c>
      <c r="E13" s="3">
        <v>15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f t="shared" si="0"/>
        <v>6.02</v>
      </c>
      <c r="C14" s="2">
        <v>634</v>
      </c>
      <c r="D14" s="2">
        <f t="shared" si="1"/>
        <v>0.63400000000000001</v>
      </c>
      <c r="E14" s="3">
        <v>15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f t="shared" si="0"/>
        <v>7.02</v>
      </c>
      <c r="C15" s="2">
        <v>711</v>
      </c>
      <c r="D15" s="2">
        <f t="shared" si="1"/>
        <v>0.71099999999999997</v>
      </c>
      <c r="E15" s="3">
        <v>15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f t="shared" si="0"/>
        <v>8.02</v>
      </c>
      <c r="C16" s="2">
        <v>796</v>
      </c>
      <c r="D16" s="2">
        <f t="shared" si="1"/>
        <v>0.79600000000000004</v>
      </c>
      <c r="E16" s="3">
        <v>15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f t="shared" si="0"/>
        <v>9.02</v>
      </c>
      <c r="C17" s="2">
        <v>881</v>
      </c>
      <c r="D17" s="2">
        <f t="shared" si="1"/>
        <v>0.88100000000000001</v>
      </c>
      <c r="E17" s="3">
        <v>15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>
        <v>8</v>
      </c>
      <c r="B18" s="3">
        <f t="shared" si="0"/>
        <v>10.02</v>
      </c>
      <c r="C18" s="2">
        <v>987</v>
      </c>
      <c r="D18" s="2">
        <f t="shared" si="1"/>
        <v>0.98699999999999999</v>
      </c>
      <c r="E18" s="3">
        <v>15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>
        <v>9</v>
      </c>
      <c r="B19" s="3">
        <f t="shared" si="0"/>
        <v>11.02</v>
      </c>
      <c r="C19" s="2">
        <v>1104</v>
      </c>
      <c r="D19" s="2">
        <f t="shared" si="1"/>
        <v>1.1040000000000001</v>
      </c>
      <c r="E19" s="3">
        <v>15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>
        <v>10</v>
      </c>
      <c r="B20" s="3">
        <f t="shared" si="0"/>
        <v>12.02</v>
      </c>
      <c r="C20" s="2">
        <v>1233</v>
      </c>
      <c r="D20" s="2">
        <f t="shared" si="1"/>
        <v>1.2330000000000001</v>
      </c>
      <c r="E20" s="3">
        <v>15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abSelected="1" workbookViewId="0">
      <selection activeCell="D29" sqref="D29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-40</v>
      </c>
      <c r="B2" s="3">
        <f t="shared" ref="B2:B20" si="0">A2+2.27</f>
        <v>-37.729999999999997</v>
      </c>
      <c r="C2" s="3">
        <v>65</v>
      </c>
      <c r="D2" s="2">
        <f>C2/1000</f>
        <v>6.5000000000000002E-2</v>
      </c>
      <c r="E2" s="3">
        <v>18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3">
        <v>-35</v>
      </c>
      <c r="B3" s="3">
        <f t="shared" si="0"/>
        <v>-32.729999999999997</v>
      </c>
      <c r="C3" s="3">
        <v>65</v>
      </c>
      <c r="D3" s="2">
        <f t="shared" ref="D3:D20" si="1">C3/1000</f>
        <v>6.5000000000000002E-2</v>
      </c>
      <c r="E3" s="3">
        <v>18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3">
        <v>-30</v>
      </c>
      <c r="B4" s="3">
        <f t="shared" si="0"/>
        <v>-27.73</v>
      </c>
      <c r="C4" s="3">
        <v>66</v>
      </c>
      <c r="D4" s="2">
        <f t="shared" si="1"/>
        <v>6.6000000000000003E-2</v>
      </c>
      <c r="E4" s="3">
        <v>18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3">
        <v>-25</v>
      </c>
      <c r="B5" s="3">
        <f t="shared" si="0"/>
        <v>-22.73</v>
      </c>
      <c r="C5" s="3">
        <v>72</v>
      </c>
      <c r="D5" s="2">
        <f t="shared" si="1"/>
        <v>7.1999999999999995E-2</v>
      </c>
      <c r="E5" s="3">
        <v>18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3">
        <v>-20</v>
      </c>
      <c r="B6" s="3">
        <f t="shared" si="0"/>
        <v>-17.73</v>
      </c>
      <c r="C6" s="3">
        <v>87</v>
      </c>
      <c r="D6" s="2">
        <f t="shared" si="1"/>
        <v>8.6999999999999994E-2</v>
      </c>
      <c r="E6" s="3">
        <v>18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3">
        <v>-15</v>
      </c>
      <c r="B7" s="3">
        <f t="shared" si="0"/>
        <v>-12.73</v>
      </c>
      <c r="C7" s="3">
        <v>121</v>
      </c>
      <c r="D7" s="2">
        <f t="shared" si="1"/>
        <v>0.121</v>
      </c>
      <c r="E7" s="3">
        <v>18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3">
        <v>-10</v>
      </c>
      <c r="B8" s="3">
        <f t="shared" si="0"/>
        <v>-7.73</v>
      </c>
      <c r="C8" s="3">
        <v>192</v>
      </c>
      <c r="D8" s="2">
        <f t="shared" si="1"/>
        <v>0.192</v>
      </c>
      <c r="E8" s="3">
        <v>18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3">
        <v>-5</v>
      </c>
      <c r="B9" s="3">
        <f t="shared" si="0"/>
        <v>-2.73</v>
      </c>
      <c r="C9" s="3">
        <v>323</v>
      </c>
      <c r="D9" s="2">
        <f t="shared" si="1"/>
        <v>0.32300000000000001</v>
      </c>
      <c r="E9" s="3">
        <v>18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3">
        <v>0</v>
      </c>
      <c r="B10" s="3">
        <f t="shared" si="0"/>
        <v>2.27</v>
      </c>
      <c r="C10" s="3">
        <v>559</v>
      </c>
      <c r="D10" s="2">
        <f t="shared" si="1"/>
        <v>0.55900000000000005</v>
      </c>
      <c r="E10" s="3">
        <v>18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3">
        <v>1</v>
      </c>
      <c r="B11" s="3">
        <f t="shared" si="0"/>
        <v>3.27</v>
      </c>
      <c r="C11" s="3">
        <v>625</v>
      </c>
      <c r="D11" s="2">
        <f t="shared" si="1"/>
        <v>0.625</v>
      </c>
      <c r="E11" s="3">
        <v>18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3">
        <v>2</v>
      </c>
      <c r="B12" s="3">
        <f t="shared" si="0"/>
        <v>4.2699999999999996</v>
      </c>
      <c r="C12" s="3">
        <v>701</v>
      </c>
      <c r="D12" s="2">
        <f t="shared" si="1"/>
        <v>0.70099999999999996</v>
      </c>
      <c r="E12" s="3">
        <v>18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3">
        <v>3</v>
      </c>
      <c r="B13" s="3">
        <f t="shared" si="0"/>
        <v>5.27</v>
      </c>
      <c r="C13" s="3">
        <v>785</v>
      </c>
      <c r="D13" s="2">
        <f t="shared" si="1"/>
        <v>0.78500000000000003</v>
      </c>
      <c r="E13" s="3">
        <v>18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>
        <v>4</v>
      </c>
      <c r="B14" s="3">
        <f t="shared" si="0"/>
        <v>6.27</v>
      </c>
      <c r="C14" s="2">
        <v>879</v>
      </c>
      <c r="D14" s="2">
        <f t="shared" si="1"/>
        <v>0.879</v>
      </c>
      <c r="E14" s="3">
        <v>18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>
        <v>5</v>
      </c>
      <c r="B15" s="3">
        <f t="shared" si="0"/>
        <v>7.27</v>
      </c>
      <c r="C15" s="2">
        <v>984</v>
      </c>
      <c r="D15" s="2">
        <f t="shared" si="1"/>
        <v>0.98399999999999999</v>
      </c>
      <c r="E15" s="3">
        <v>18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>
        <v>6</v>
      </c>
      <c r="B16" s="3">
        <f t="shared" si="0"/>
        <v>8.27</v>
      </c>
      <c r="C16" s="2">
        <v>1100</v>
      </c>
      <c r="D16" s="2">
        <f t="shared" si="1"/>
        <v>1.1000000000000001</v>
      </c>
      <c r="E16" s="3">
        <v>18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>
        <v>7</v>
      </c>
      <c r="B17" s="3">
        <f t="shared" si="0"/>
        <v>9.27</v>
      </c>
      <c r="C17" s="2">
        <v>1227</v>
      </c>
      <c r="D17" s="2">
        <f t="shared" si="1"/>
        <v>1.2270000000000001</v>
      </c>
      <c r="E17" s="3">
        <v>18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>
        <v>8</v>
      </c>
      <c r="B18" s="3">
        <f t="shared" si="0"/>
        <v>10.27</v>
      </c>
      <c r="C18" s="2">
        <v>1367</v>
      </c>
      <c r="D18" s="2">
        <f t="shared" si="1"/>
        <v>1.367</v>
      </c>
      <c r="E18" s="3">
        <v>18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>
        <v>9</v>
      </c>
      <c r="B19" s="3">
        <f t="shared" si="0"/>
        <v>11.27</v>
      </c>
      <c r="C19" s="2">
        <v>1519</v>
      </c>
      <c r="D19" s="2">
        <f t="shared" si="1"/>
        <v>1.5189999999999999</v>
      </c>
      <c r="E19" s="3">
        <v>18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>
        <v>10</v>
      </c>
      <c r="B20" s="3">
        <f t="shared" si="0"/>
        <v>12.27</v>
      </c>
      <c r="C20" s="2">
        <v>1684</v>
      </c>
      <c r="D20" s="2">
        <f t="shared" si="1"/>
        <v>1.6839999999999999</v>
      </c>
      <c r="E20" s="3">
        <v>18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Frothingham</cp:lastModifiedBy>
  <dcterms:modified xsi:type="dcterms:W3CDTF">2026-03-06T19:44:47Z</dcterms:modified>
</cp:coreProperties>
</file>