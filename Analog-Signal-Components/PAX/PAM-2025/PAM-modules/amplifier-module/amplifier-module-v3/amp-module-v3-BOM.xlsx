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olin\Documents\ATA\gerb\"/>
    </mc:Choice>
  </mc:AlternateContent>
  <xr:revisionPtr revIDLastSave="0" documentId="13_ncr:1_{0E2C8B6B-B18C-41BB-80B5-8AD54B527A91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J22" i="1"/>
  <c r="J21" i="1"/>
  <c r="J19" i="1"/>
  <c r="J12" i="1"/>
</calcChain>
</file>

<file path=xl/sharedStrings.xml><?xml version="1.0" encoding="utf-8"?>
<sst xmlns="http://schemas.openxmlformats.org/spreadsheetml/2006/main" count="152" uniqueCount="86">
  <si>
    <t>Type</t>
  </si>
  <si>
    <t>Manufacturer</t>
  </si>
  <si>
    <t>Mfr. #</t>
  </si>
  <si>
    <t>Datasheet</t>
  </si>
  <si>
    <t>↗</t>
  </si>
  <si>
    <t>Mouser</t>
  </si>
  <si>
    <t>Cost p.P. $</t>
  </si>
  <si>
    <t>81-GCM1885C1H102FA6D</t>
  </si>
  <si>
    <r>
      <rPr>
        <sz val="11"/>
        <color theme="1"/>
        <rFont val="Calibri"/>
        <family val="2"/>
        <scheme val="minor"/>
      </rPr>
      <t>GCM1885C1H102FA16D</t>
    </r>
    <r>
      <rPr>
        <b/>
        <sz val="11"/>
        <color theme="1"/>
        <rFont val="Calibri"/>
        <family val="2"/>
        <scheme val="minor"/>
      </rPr>
      <t xml:space="preserve"> </t>
    </r>
  </si>
  <si>
    <t>Murata Electronics</t>
  </si>
  <si>
    <t>Package (metric)</t>
  </si>
  <si>
    <t xml:space="preserve">81-GRM1555C2A11FA1D </t>
  </si>
  <si>
    <t xml:space="preserve">GRM1555C2A101FA01D </t>
  </si>
  <si>
    <t>Vishay/Sprague</t>
  </si>
  <si>
    <t>Miller MMIC</t>
  </si>
  <si>
    <t>QFN4x4-24</t>
  </si>
  <si>
    <t xml:space="preserve">74-TH3A475K020C5000 </t>
  </si>
  <si>
    <t xml:space="preserve">TH3A475K020C5000 </t>
  </si>
  <si>
    <t>QTY [pcs]</t>
  </si>
  <si>
    <t>0806</t>
  </si>
  <si>
    <t xml:space="preserve">961-939113733510 </t>
  </si>
  <si>
    <t>capacitor, 100 pF</t>
  </si>
  <si>
    <t>capacitor, 4.7 uF</t>
  </si>
  <si>
    <t>capacitor, 10 nF</t>
  </si>
  <si>
    <t>MML098GQ4A</t>
  </si>
  <si>
    <t>equalizer, 3.5 dB</t>
  </si>
  <si>
    <t>Knowles Dielectric Labs</t>
  </si>
  <si>
    <t>0605</t>
  </si>
  <si>
    <t>766-AEQ05472-T</t>
  </si>
  <si>
    <t>AEQ05472-T</t>
  </si>
  <si>
    <t>capacitor, 1000 pF</t>
  </si>
  <si>
    <t>total</t>
  </si>
  <si>
    <t>Supplier #</t>
  </si>
  <si>
    <t>Supplier Link</t>
  </si>
  <si>
    <t>Supplier</t>
  </si>
  <si>
    <t>BOM for PAM Amplifier Module</t>
  </si>
  <si>
    <t>amplifier, 23 dB</t>
  </si>
  <si>
    <t>feed trough C</t>
  </si>
  <si>
    <t>4-40UNC-2A</t>
  </si>
  <si>
    <t>turret terminal</t>
  </si>
  <si>
    <t xml:space="preserve">534-1595-2 </t>
  </si>
  <si>
    <t>2-56 UNC – 2A</t>
  </si>
  <si>
    <t>Keystone Electronics</t>
  </si>
  <si>
    <t xml:space="preserve">1595-2 </t>
  </si>
  <si>
    <t>box</t>
  </si>
  <si>
    <t>lid</t>
  </si>
  <si>
    <t>screws for SMA</t>
  </si>
  <si>
    <t>screws for PCB</t>
  </si>
  <si>
    <t>screws for lid</t>
  </si>
  <si>
    <t>-</t>
  </si>
  <si>
    <t>2478-B3C153B-ND</t>
  </si>
  <si>
    <t>EMI Filter Company</t>
  </si>
  <si>
    <t>B3C153B</t>
  </si>
  <si>
    <t>DigiKey</t>
  </si>
  <si>
    <t>92196A091</t>
  </si>
  <si>
    <t>3-48 UNC - 2B x 3/16</t>
  </si>
  <si>
    <t>McMaster-Carr</t>
  </si>
  <si>
    <t xml:space="preserve">534-21202 </t>
  </si>
  <si>
    <t>2-56 UNC - 2B x 1/8</t>
  </si>
  <si>
    <t>91771A884</t>
  </si>
  <si>
    <t>2-56 UNC - 2B x 5/32</t>
  </si>
  <si>
    <t>31.4 x 27.4 x 9 mm</t>
  </si>
  <si>
    <t>JLCPCB</t>
  </si>
  <si>
    <t>31.4 x 27.4 x 1 mm</t>
  </si>
  <si>
    <t>21 x 25 x 0.51 mm</t>
  </si>
  <si>
    <t xml:space="preserve">RO4350 PCB  </t>
  </si>
  <si>
    <t>RF-absorber (PSA)</t>
  </si>
  <si>
    <t>MR42-0008-20</t>
  </si>
  <si>
    <t>0.08'' (20 x 24 mm)</t>
  </si>
  <si>
    <t>MAST</t>
  </si>
  <si>
    <t>RFMW</t>
  </si>
  <si>
    <t>RF-absorber (urethane)</t>
  </si>
  <si>
    <t>ARC-UD-11881-3</t>
  </si>
  <si>
    <t>0.06'' (5 x 5 mm)</t>
  </si>
  <si>
    <t>ATC Technologies</t>
  </si>
  <si>
    <t>Ferrite Bead, 600 Ω</t>
  </si>
  <si>
    <t>HZ0805E601R-10</t>
  </si>
  <si>
    <t>Laird-Signal Integrity Products</t>
  </si>
  <si>
    <t>Female SMA connector</t>
  </si>
  <si>
    <t>Male SMA connector</t>
  </si>
  <si>
    <t>AT37PET-40E0103F04</t>
  </si>
  <si>
    <t>Aaren Technology</t>
  </si>
  <si>
    <t xml:space="preserve">AT37PET-41E0103F04 </t>
  </si>
  <si>
    <t>AT37PET-41E0103F04</t>
  </si>
  <si>
    <t>APC Technology</t>
  </si>
  <si>
    <t>(GBP)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</si>
</sst>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datasheet/2/281/1/GRM1555C2A101FA01_01A-1983221.pdf" TargetMode="External"/><Relationship Id="rId13" Type="http://schemas.openxmlformats.org/officeDocument/2006/relationships/hyperlink" Target="https://www.mouser.com/ProductDetail/Keystone-Electronics/1595-2?qs=UrbseFuNL0lAijfEDTSGkw%3D%3D" TargetMode="External"/><Relationship Id="rId18" Type="http://schemas.openxmlformats.org/officeDocument/2006/relationships/hyperlink" Target="https://www.keyelco.com/product.cfm/product_id/14722" TargetMode="External"/><Relationship Id="rId26" Type="http://schemas.openxmlformats.org/officeDocument/2006/relationships/hyperlink" Target="https://www.laird.com/document/datasheet/hz0805e601r-10-datasheet" TargetMode="External"/><Relationship Id="rId3" Type="http://schemas.openxmlformats.org/officeDocument/2006/relationships/hyperlink" Target="https://www.mouser.com/ProductDetail/Vishay-Sprague/TH3A475K020C5000?qs=iY1HX60zZqOoE9ZwM7bafg%3D%3D" TargetMode="External"/><Relationship Id="rId21" Type="http://schemas.openxmlformats.org/officeDocument/2006/relationships/hyperlink" Target="https://jlccnc.com/cnc-machining-quote?spm=Jlc3dp.Homepage.1011.d2" TargetMode="External"/><Relationship Id="rId7" Type="http://schemas.openxmlformats.org/officeDocument/2006/relationships/hyperlink" Target="https://www.mouser.com/ProductDetail/Murata-Electronics/GRM1555C2A101FA01D?qs=rrS6PyfT74dhi48KLJGpTA%3D%3D" TargetMode="External"/><Relationship Id="rId12" Type="http://schemas.openxmlformats.org/officeDocument/2006/relationships/hyperlink" Target="https://www.mouser.com/ProductDetail/Knowles-Dielectric-Labs/AEQ05472-T?qs=tLtVXHuAOBp2hpg31kCLdg%3D%3D" TargetMode="External"/><Relationship Id="rId17" Type="http://schemas.openxmlformats.org/officeDocument/2006/relationships/hyperlink" Target="https://www.mouser.com/ProductDetail/Keystone-Electronics/21202?qs=zW32dvEIR3vqxnJFyoQnbw%3D%3D" TargetMode="External"/><Relationship Id="rId25" Type="http://schemas.openxmlformats.org/officeDocument/2006/relationships/hyperlink" Target="https://www.digikey.com/en/products/detail/laird-signal-integrity-products/HZ0805E601R-10/806638" TargetMode="External"/><Relationship Id="rId2" Type="http://schemas.openxmlformats.org/officeDocument/2006/relationships/hyperlink" Target="https://www.mouser.com/datasheet/2/281/1/GCM1885C1H102FA16_01A-3142390.pdf" TargetMode="External"/><Relationship Id="rId16" Type="http://schemas.openxmlformats.org/officeDocument/2006/relationships/hyperlink" Target="https://emifiltercompany.herokuapp.com/static/products/pdfs/b3cs_revd.pdf" TargetMode="External"/><Relationship Id="rId20" Type="http://schemas.openxmlformats.org/officeDocument/2006/relationships/hyperlink" Target="https://www.mcmaster.com/92196A091/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Murata-Electronics/GCM1885C1H102FA16D?qs=bGEzvQhTDna07gGegWNXCA%3D%3D" TargetMode="External"/><Relationship Id="rId6" Type="http://schemas.openxmlformats.org/officeDocument/2006/relationships/hyperlink" Target="https://www.millermmic.com/pdf/mmic_amplifier/MML098GQ4A.pdf" TargetMode="External"/><Relationship Id="rId11" Type="http://schemas.openxmlformats.org/officeDocument/2006/relationships/hyperlink" Target="https://www.mouser.com/datasheet/2/218/GAIN_EQUALIZER_DATASHEET-3133333.pdf" TargetMode="External"/><Relationship Id="rId24" Type="http://schemas.openxmlformats.org/officeDocument/2006/relationships/hyperlink" Target="https://www.rfmw.com/products/detail/mr42000820-mast/460494/?srsltid=AfmBOoqU6HSqgrB40bpPiegH39a_JawhpLD3xWdQZPGM4OTOGr3gVDu4" TargetMode="External"/><Relationship Id="rId5" Type="http://schemas.openxmlformats.org/officeDocument/2006/relationships/hyperlink" Target="https://www.vishay.com/docs/40084/th3.pdf" TargetMode="External"/><Relationship Id="rId15" Type="http://schemas.openxmlformats.org/officeDocument/2006/relationships/hyperlink" Target="https://www.digikey.com/en/products/detail/emi-filter-company/B3C153B/13561272" TargetMode="External"/><Relationship Id="rId23" Type="http://schemas.openxmlformats.org/officeDocument/2006/relationships/hyperlink" Target="https://cart.jlcpcb.com/quote?orderType=1&amp;stencilLayer=2&amp;stencilWidth=100&amp;stencilLength=100" TargetMode="External"/><Relationship Id="rId28" Type="http://schemas.openxmlformats.org/officeDocument/2006/relationships/hyperlink" Target="https://apctech.com/at37pet-41e0103f04.html" TargetMode="External"/><Relationship Id="rId10" Type="http://schemas.openxmlformats.org/officeDocument/2006/relationships/hyperlink" Target="https://www.mouser.com/datasheet/2/281/Commercial_leafletXBSCUBSCBBSCULSCV13Murata-1660560.pdf" TargetMode="External"/><Relationship Id="rId19" Type="http://schemas.openxmlformats.org/officeDocument/2006/relationships/hyperlink" Target="https://www.mcmaster.com/91771A884/" TargetMode="External"/><Relationship Id="rId4" Type="http://schemas.openxmlformats.org/officeDocument/2006/relationships/hyperlink" Target="https://www.millermmic.com/product/broadbandDistributedAmplifiers/MML098GQ4A" TargetMode="External"/><Relationship Id="rId9" Type="http://schemas.openxmlformats.org/officeDocument/2006/relationships/hyperlink" Target="https://www.mouser.com/ProductDetail/Murata-Electronics/939113733510?qs=BJlw7L4Cy7%252B9sB%252BBSFbryw%3D%3D" TargetMode="External"/><Relationship Id="rId14" Type="http://schemas.openxmlformats.org/officeDocument/2006/relationships/hyperlink" Target="https://www.mouser.com/datasheet/2/215/595-1_1595-2-742696.pdf" TargetMode="External"/><Relationship Id="rId22" Type="http://schemas.openxmlformats.org/officeDocument/2006/relationships/hyperlink" Target="https://jlccnc.com/cnc-machining-quote?spm=Jlc3dp.Homepage.1011.d2" TargetMode="External"/><Relationship Id="rId27" Type="http://schemas.openxmlformats.org/officeDocument/2006/relationships/hyperlink" Target="https://apctech.com/at37pet-41e0103f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7" zoomScaleNormal="100" workbookViewId="0">
      <selection activeCell="E11" sqref="E11"/>
    </sheetView>
  </sheetViews>
  <sheetFormatPr defaultColWidth="9" defaultRowHeight="15" x14ac:dyDescent="0.25"/>
  <cols>
    <col min="1" max="1" width="8" customWidth="1"/>
    <col min="2" max="2" width="20.5703125" customWidth="1"/>
    <col min="3" max="3" width="22.28515625" customWidth="1"/>
    <col min="4" max="4" width="16.5703125" customWidth="1"/>
    <col min="5" max="5" width="31.42578125" customWidth="1"/>
    <col min="6" max="6" width="20.28515625" customWidth="1"/>
    <col min="7" max="7" width="11.140625" customWidth="1"/>
    <col min="8" max="8" width="9.7109375" customWidth="1"/>
    <col min="9" max="9" width="14" customWidth="1"/>
    <col min="10" max="10" width="9" customWidth="1"/>
    <col min="11" max="11" width="9.42578125" customWidth="1"/>
  </cols>
  <sheetData>
    <row r="1" spans="1:13" x14ac:dyDescent="0.25">
      <c r="A1" s="1" t="s">
        <v>35</v>
      </c>
      <c r="B1" s="1"/>
    </row>
    <row r="2" spans="1:13" x14ac:dyDescent="0.25">
      <c r="E2" s="3"/>
    </row>
    <row r="3" spans="1:13" x14ac:dyDescent="0.25">
      <c r="A3" s="2" t="s">
        <v>18</v>
      </c>
      <c r="B3" s="2" t="s">
        <v>0</v>
      </c>
      <c r="C3" s="2" t="s">
        <v>32</v>
      </c>
      <c r="D3" s="2" t="s">
        <v>10</v>
      </c>
      <c r="E3" s="2" t="s">
        <v>1</v>
      </c>
      <c r="F3" s="2" t="s">
        <v>2</v>
      </c>
      <c r="G3" s="2" t="s">
        <v>33</v>
      </c>
      <c r="H3" s="2" t="s">
        <v>3</v>
      </c>
      <c r="I3" s="2" t="s">
        <v>34</v>
      </c>
      <c r="J3" s="2" t="s">
        <v>6</v>
      </c>
    </row>
    <row r="4" spans="1:13" x14ac:dyDescent="0.25">
      <c r="A4">
        <v>2</v>
      </c>
      <c r="B4" t="s">
        <v>21</v>
      </c>
      <c r="C4" t="s">
        <v>11</v>
      </c>
      <c r="D4" s="10">
        <v>1005</v>
      </c>
      <c r="E4" t="s">
        <v>9</v>
      </c>
      <c r="F4" s="6" t="s">
        <v>12</v>
      </c>
      <c r="G4" s="4" t="s">
        <v>4</v>
      </c>
      <c r="H4" s="4" t="s">
        <v>4</v>
      </c>
      <c r="I4" t="s">
        <v>5</v>
      </c>
      <c r="J4">
        <v>0.18</v>
      </c>
    </row>
    <row r="5" spans="1:13" x14ac:dyDescent="0.25">
      <c r="A5">
        <v>2</v>
      </c>
      <c r="B5" t="s">
        <v>30</v>
      </c>
      <c r="C5" t="s">
        <v>7</v>
      </c>
      <c r="D5" s="10">
        <v>1608</v>
      </c>
      <c r="E5" t="s">
        <v>9</v>
      </c>
      <c r="F5" s="5" t="s">
        <v>8</v>
      </c>
      <c r="G5" s="4" t="s">
        <v>4</v>
      </c>
      <c r="H5" s="4" t="s">
        <v>4</v>
      </c>
      <c r="I5" t="s">
        <v>5</v>
      </c>
      <c r="J5">
        <v>0.35</v>
      </c>
    </row>
    <row r="6" spans="1:13" x14ac:dyDescent="0.25">
      <c r="A6">
        <v>2</v>
      </c>
      <c r="B6" t="s">
        <v>22</v>
      </c>
      <c r="C6" t="s">
        <v>16</v>
      </c>
      <c r="D6" s="10">
        <v>3216</v>
      </c>
      <c r="E6" t="s">
        <v>13</v>
      </c>
      <c r="F6" t="s">
        <v>17</v>
      </c>
      <c r="G6" s="4" t="s">
        <v>4</v>
      </c>
      <c r="H6" s="4" t="s">
        <v>4</v>
      </c>
      <c r="I6" t="s">
        <v>5</v>
      </c>
      <c r="J6">
        <v>0.72</v>
      </c>
      <c r="L6" s="7"/>
    </row>
    <row r="7" spans="1:13" x14ac:dyDescent="0.25">
      <c r="A7">
        <v>3</v>
      </c>
      <c r="B7" t="s">
        <v>23</v>
      </c>
      <c r="C7" t="s">
        <v>20</v>
      </c>
      <c r="D7" s="10" t="s">
        <v>19</v>
      </c>
      <c r="E7" t="s">
        <v>9</v>
      </c>
      <c r="F7" s="8">
        <v>939113733510</v>
      </c>
      <c r="G7" s="4" t="s">
        <v>4</v>
      </c>
      <c r="H7" s="4" t="s">
        <v>4</v>
      </c>
      <c r="I7" t="s">
        <v>5</v>
      </c>
      <c r="J7">
        <v>7.55</v>
      </c>
    </row>
    <row r="8" spans="1:13" ht="14.65" customHeight="1" x14ac:dyDescent="0.25">
      <c r="A8">
        <v>2</v>
      </c>
      <c r="B8" t="s">
        <v>25</v>
      </c>
      <c r="C8" t="s">
        <v>28</v>
      </c>
      <c r="D8" s="9" t="s">
        <v>27</v>
      </c>
      <c r="E8" t="s">
        <v>26</v>
      </c>
      <c r="F8" s="6" t="s">
        <v>29</v>
      </c>
      <c r="G8" s="4" t="s">
        <v>4</v>
      </c>
      <c r="H8" s="4" t="s">
        <v>4</v>
      </c>
      <c r="I8" t="s">
        <v>5</v>
      </c>
      <c r="J8">
        <v>8.56</v>
      </c>
    </row>
    <row r="9" spans="1:13" x14ac:dyDescent="0.25">
      <c r="A9">
        <v>2</v>
      </c>
      <c r="B9" t="s">
        <v>36</v>
      </c>
      <c r="C9" t="s">
        <v>24</v>
      </c>
      <c r="D9" s="10" t="s">
        <v>15</v>
      </c>
      <c r="E9" t="s">
        <v>14</v>
      </c>
      <c r="F9" t="s">
        <v>24</v>
      </c>
      <c r="G9" s="4" t="s">
        <v>4</v>
      </c>
      <c r="H9" s="4" t="s">
        <v>4</v>
      </c>
      <c r="I9" t="s">
        <v>14</v>
      </c>
      <c r="J9" s="13">
        <v>235.8</v>
      </c>
    </row>
    <row r="10" spans="1:13" x14ac:dyDescent="0.25">
      <c r="A10">
        <v>1</v>
      </c>
      <c r="B10" t="s">
        <v>75</v>
      </c>
      <c r="C10" t="s">
        <v>76</v>
      </c>
      <c r="D10" s="11">
        <v>2012</v>
      </c>
      <c r="E10" t="s">
        <v>77</v>
      </c>
      <c r="F10" t="s">
        <v>76</v>
      </c>
      <c r="G10" s="4" t="s">
        <v>4</v>
      </c>
      <c r="H10" s="4" t="s">
        <v>4</v>
      </c>
      <c r="I10" t="s">
        <v>53</v>
      </c>
      <c r="J10">
        <v>0.1</v>
      </c>
    </row>
    <row r="11" spans="1:13" x14ac:dyDescent="0.25">
      <c r="D11" s="11"/>
      <c r="G11" s="4"/>
      <c r="H11" s="4"/>
    </row>
    <row r="12" spans="1:13" x14ac:dyDescent="0.25">
      <c r="D12" s="9"/>
      <c r="F12" s="6"/>
      <c r="G12" s="4"/>
      <c r="H12" s="4"/>
      <c r="I12" t="s">
        <v>31</v>
      </c>
      <c r="J12">
        <f>+A4*J4+A5*J5+A6*J6+A7*J7+A8*J8+A9*J9</f>
        <v>513.87</v>
      </c>
      <c r="M12" s="4"/>
    </row>
    <row r="13" spans="1:13" x14ac:dyDescent="0.25">
      <c r="F13" s="6"/>
      <c r="G13" s="4"/>
      <c r="H13" s="4"/>
    </row>
    <row r="14" spans="1:13" x14ac:dyDescent="0.25">
      <c r="F14" s="6"/>
      <c r="G14" s="4"/>
      <c r="H14" s="4"/>
    </row>
    <row r="15" spans="1:13" x14ac:dyDescent="0.25">
      <c r="A15">
        <v>1</v>
      </c>
      <c r="B15" t="s">
        <v>79</v>
      </c>
      <c r="C15" t="s">
        <v>80</v>
      </c>
      <c r="D15" t="s">
        <v>49</v>
      </c>
      <c r="E15" t="s">
        <v>81</v>
      </c>
      <c r="F15" s="6" t="s">
        <v>80</v>
      </c>
      <c r="G15" s="4"/>
      <c r="H15" s="4"/>
      <c r="I15" t="s">
        <v>84</v>
      </c>
    </row>
    <row r="16" spans="1:13" x14ac:dyDescent="0.25">
      <c r="A16">
        <v>1</v>
      </c>
      <c r="B16" t="s">
        <v>78</v>
      </c>
      <c r="C16" t="s">
        <v>82</v>
      </c>
      <c r="D16" t="s">
        <v>49</v>
      </c>
      <c r="E16" t="s">
        <v>81</v>
      </c>
      <c r="F16" s="6" t="s">
        <v>83</v>
      </c>
      <c r="G16" s="4" t="s">
        <v>4</v>
      </c>
      <c r="H16" s="4" t="s">
        <v>4</v>
      </c>
      <c r="I16" t="s">
        <v>84</v>
      </c>
      <c r="J16">
        <v>10.82</v>
      </c>
      <c r="K16" t="s">
        <v>85</v>
      </c>
    </row>
    <row r="17" spans="1:12" x14ac:dyDescent="0.25">
      <c r="A17">
        <v>1</v>
      </c>
      <c r="B17" t="s">
        <v>37</v>
      </c>
      <c r="C17" t="s">
        <v>50</v>
      </c>
      <c r="D17" s="12" t="s">
        <v>38</v>
      </c>
      <c r="E17" t="s">
        <v>51</v>
      </c>
      <c r="F17" s="6" t="s">
        <v>52</v>
      </c>
      <c r="G17" s="4" t="s">
        <v>4</v>
      </c>
      <c r="H17" s="4" t="s">
        <v>4</v>
      </c>
      <c r="I17" t="s">
        <v>53</v>
      </c>
      <c r="J17">
        <v>13.49</v>
      </c>
      <c r="K17" s="4"/>
      <c r="L17" s="4"/>
    </row>
    <row r="18" spans="1:12" x14ac:dyDescent="0.25">
      <c r="A18">
        <v>1</v>
      </c>
      <c r="B18" t="s">
        <v>39</v>
      </c>
      <c r="C18" t="s">
        <v>40</v>
      </c>
      <c r="D18" s="12" t="s">
        <v>41</v>
      </c>
      <c r="E18" t="s">
        <v>42</v>
      </c>
      <c r="F18" s="6" t="s">
        <v>43</v>
      </c>
      <c r="G18" s="4" t="s">
        <v>4</v>
      </c>
      <c r="H18" s="4" t="s">
        <v>4</v>
      </c>
      <c r="I18" t="s">
        <v>5</v>
      </c>
      <c r="J18">
        <v>0.7</v>
      </c>
    </row>
    <row r="19" spans="1:12" x14ac:dyDescent="0.25">
      <c r="A19">
        <f>(A16+A15)*2</f>
        <v>4</v>
      </c>
      <c r="B19" t="s">
        <v>46</v>
      </c>
      <c r="C19" t="s">
        <v>54</v>
      </c>
      <c r="D19" t="s">
        <v>55</v>
      </c>
      <c r="E19" t="s">
        <v>56</v>
      </c>
      <c r="F19" t="s">
        <v>54</v>
      </c>
      <c r="G19" s="4" t="s">
        <v>4</v>
      </c>
      <c r="H19" s="4"/>
      <c r="I19" t="s">
        <v>56</v>
      </c>
      <c r="J19">
        <f>17.5/50</f>
        <v>0.35</v>
      </c>
    </row>
    <row r="20" spans="1:12" x14ac:dyDescent="0.25">
      <c r="A20">
        <v>4</v>
      </c>
      <c r="B20" t="s">
        <v>47</v>
      </c>
      <c r="C20" t="s">
        <v>57</v>
      </c>
      <c r="D20" t="s">
        <v>58</v>
      </c>
      <c r="E20" t="s">
        <v>42</v>
      </c>
      <c r="F20" s="14">
        <v>21202</v>
      </c>
      <c r="G20" s="4" t="s">
        <v>4</v>
      </c>
      <c r="H20" s="4" t="s">
        <v>4</v>
      </c>
      <c r="I20" t="s">
        <v>5</v>
      </c>
      <c r="J20">
        <v>5.08</v>
      </c>
    </row>
    <row r="21" spans="1:12" ht="13.9" customHeight="1" x14ac:dyDescent="0.25">
      <c r="A21">
        <v>4</v>
      </c>
      <c r="B21" t="s">
        <v>48</v>
      </c>
      <c r="C21" t="s">
        <v>59</v>
      </c>
      <c r="D21" t="s">
        <v>60</v>
      </c>
      <c r="E21" t="s">
        <v>56</v>
      </c>
      <c r="F21" t="s">
        <v>59</v>
      </c>
      <c r="G21" s="4" t="s">
        <v>4</v>
      </c>
      <c r="I21" t="s">
        <v>56</v>
      </c>
      <c r="J21">
        <f>8.86/100</f>
        <v>8.8599999999999998E-2</v>
      </c>
    </row>
    <row r="22" spans="1:12" x14ac:dyDescent="0.25">
      <c r="A22">
        <v>1</v>
      </c>
      <c r="B22" t="s">
        <v>66</v>
      </c>
      <c r="C22" t="s">
        <v>67</v>
      </c>
      <c r="D22" t="s">
        <v>68</v>
      </c>
      <c r="E22" t="s">
        <v>69</v>
      </c>
      <c r="F22" t="s">
        <v>67</v>
      </c>
      <c r="G22" s="4" t="s">
        <v>4</v>
      </c>
      <c r="H22" t="s">
        <v>49</v>
      </c>
      <c r="I22" t="s">
        <v>70</v>
      </c>
      <c r="J22">
        <f>153.46/180</f>
        <v>0.85255555555555562</v>
      </c>
    </row>
    <row r="23" spans="1:12" x14ac:dyDescent="0.25">
      <c r="A23">
        <v>1</v>
      </c>
      <c r="B23" t="s">
        <v>71</v>
      </c>
      <c r="C23" t="s">
        <v>72</v>
      </c>
      <c r="D23" t="s">
        <v>73</v>
      </c>
      <c r="E23" t="s">
        <v>74</v>
      </c>
      <c r="F23" t="s">
        <v>72</v>
      </c>
      <c r="G23" s="4"/>
    </row>
    <row r="24" spans="1:12" x14ac:dyDescent="0.25">
      <c r="A24">
        <v>1</v>
      </c>
      <c r="B24" t="s">
        <v>44</v>
      </c>
      <c r="C24" t="s">
        <v>49</v>
      </c>
      <c r="D24" t="s">
        <v>61</v>
      </c>
      <c r="E24" t="s">
        <v>62</v>
      </c>
      <c r="F24" t="s">
        <v>49</v>
      </c>
      <c r="G24" s="4" t="s">
        <v>4</v>
      </c>
      <c r="H24" t="s">
        <v>49</v>
      </c>
      <c r="I24" t="s">
        <v>62</v>
      </c>
    </row>
    <row r="25" spans="1:12" x14ac:dyDescent="0.25">
      <c r="A25">
        <v>1</v>
      </c>
      <c r="B25" t="s">
        <v>45</v>
      </c>
      <c r="C25" t="s">
        <v>49</v>
      </c>
      <c r="D25" t="s">
        <v>63</v>
      </c>
      <c r="E25" t="s">
        <v>62</v>
      </c>
      <c r="F25" t="s">
        <v>49</v>
      </c>
      <c r="G25" s="4" t="s">
        <v>4</v>
      </c>
      <c r="H25" t="s">
        <v>49</v>
      </c>
      <c r="I25" t="s">
        <v>62</v>
      </c>
    </row>
    <row r="26" spans="1:12" x14ac:dyDescent="0.25">
      <c r="A26">
        <v>1</v>
      </c>
      <c r="B26" t="s">
        <v>65</v>
      </c>
      <c r="C26" t="s">
        <v>49</v>
      </c>
      <c r="D26" t="s">
        <v>64</v>
      </c>
      <c r="E26" t="s">
        <v>62</v>
      </c>
      <c r="F26" t="s">
        <v>49</v>
      </c>
      <c r="G26" s="4" t="s">
        <v>4</v>
      </c>
      <c r="H26" t="s">
        <v>49</v>
      </c>
      <c r="I26" t="s">
        <v>62</v>
      </c>
    </row>
  </sheetData>
  <phoneticPr fontId="4" type="noConversion"/>
  <hyperlinks>
    <hyperlink ref="G5" r:id="rId1" xr:uid="{DB330055-02B0-4BC4-AD72-BBFC332F14EB}"/>
    <hyperlink ref="H5" r:id="rId2" xr:uid="{DD339095-6BBB-4FA9-A4E2-B7EA60374209}"/>
    <hyperlink ref="G6" r:id="rId3" xr:uid="{72F02C75-DD6E-47A1-BAB1-EC871F95A713}"/>
    <hyperlink ref="G9" r:id="rId4" xr:uid="{2235D202-D1EA-4FE0-8C92-9CBE208A5D56}"/>
    <hyperlink ref="H6" r:id="rId5" xr:uid="{BA2EE3F8-33D6-434E-99A9-0BC4200C5DF9}"/>
    <hyperlink ref="H9" r:id="rId6" xr:uid="{B9AB32A2-0237-4E3D-A43B-9C98AB4A4B6B}"/>
    <hyperlink ref="G4" r:id="rId7" xr:uid="{77CFE5F3-4D72-41FF-B4DB-1951D6568C13}"/>
    <hyperlink ref="H4" r:id="rId8" xr:uid="{7162E191-F5C8-4673-ADBA-7CB0EDCB73D4}"/>
    <hyperlink ref="G7" r:id="rId9" xr:uid="{920AC7FB-FD3C-4439-A8B3-BED882778558}"/>
    <hyperlink ref="H7" r:id="rId10" xr:uid="{634D1DF7-4E2E-460D-A7F6-ADA55E72548C}"/>
    <hyperlink ref="H8" r:id="rId11" xr:uid="{89CE1159-3C53-4A3D-9658-E19EDE9EE3C4}"/>
    <hyperlink ref="G8" r:id="rId12" xr:uid="{AF78A9D3-3691-43EB-9353-EA6FE2B65652}"/>
    <hyperlink ref="G18" r:id="rId13" xr:uid="{2344F6E7-7CCD-4195-A038-E46C0AAD3CB5}"/>
    <hyperlink ref="H18" r:id="rId14" xr:uid="{E4CF8212-66ED-4443-BC29-018D1AB7174A}"/>
    <hyperlink ref="G17" r:id="rId15" xr:uid="{9CDC9DC5-066F-4C46-96F0-3081D293A4B1}"/>
    <hyperlink ref="H17" r:id="rId16" xr:uid="{53C47AA7-FD41-491A-9EF9-270DD29D0386}"/>
    <hyperlink ref="G20" r:id="rId17" xr:uid="{864F061D-4C2D-4E01-A419-510B15DA50A2}"/>
    <hyperlink ref="H20" r:id="rId18" xr:uid="{BAC90AA8-AE47-4C24-B480-655972105C7F}"/>
    <hyperlink ref="G21" r:id="rId19" xr:uid="{791D2FF6-8CA1-42D6-9144-75BEA3594CE8}"/>
    <hyperlink ref="G19" r:id="rId20" xr:uid="{8AEC8668-8534-46CD-9B4A-C9523C444C68}"/>
    <hyperlink ref="G24" r:id="rId21" xr:uid="{9E66B4E6-AB8E-4D98-A532-592A10558EC9}"/>
    <hyperlink ref="G25" r:id="rId22" xr:uid="{E19A4C4A-DB86-4DC9-943E-42DD15B64480}"/>
    <hyperlink ref="G26" r:id="rId23" xr:uid="{CE57D22D-4646-41E3-8925-B30E53CE92EF}"/>
    <hyperlink ref="G22" r:id="rId24" xr:uid="{C8DFF2BB-6809-4F61-85A7-922F3AC18C80}"/>
    <hyperlink ref="G10" r:id="rId25" xr:uid="{F12F83FA-D5B5-47CB-95B6-33D0B0B99B49}"/>
    <hyperlink ref="H10" r:id="rId26" xr:uid="{EEA2F635-A785-41D0-91D7-F6B9619E819F}"/>
    <hyperlink ref="G16" r:id="rId27" xr:uid="{D6D24302-405A-4664-9D0B-81B2A864EC57}"/>
    <hyperlink ref="H16" r:id="rId28" xr:uid="{7CA77FB8-DA43-4D12-9FE1-678C4D14EA52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2025-11-20T18:33:15Z</dcterms:modified>
</cp:coreProperties>
</file>